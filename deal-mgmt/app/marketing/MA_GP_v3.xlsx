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a5e34cf513ea8e82/문서/M^0A 서비스/FI/"/>
    </mc:Choice>
  </mc:AlternateContent>
  <xr:revisionPtr revIDLastSave="85" documentId="11_8A5E4A4DD8E4A390C33E8331F2CC36F2BC6BD4F6" xr6:coauthVersionLast="47" xr6:coauthVersionMax="47" xr10:uidLastSave="{636ABA78-4631-4EC6-AFE3-F095E5741926}"/>
  <bookViews>
    <workbookView xWindow="-98" yWindow="-98" windowWidth="21795" windowHeight="12975" tabRatio="500" xr2:uid="{00000000-000D-0000-FFFF-FFFF00000000}"/>
  </bookViews>
  <sheets>
    <sheet name="GP별 관심 FI List" sheetId="1" r:id="rId1"/>
    <sheet name="GP별 PEF 상세내역" sheetId="2" r:id="rId2"/>
    <sheet name="GP 연도별 활동 매트릭스" sheetId="3" r:id="rId3"/>
  </sheets>
  <definedNames>
    <definedName name="_xlnm._FilterDatabase" localSheetId="1" hidden="1">'GP별 PEF 상세내역'!$A$4:$I$1245</definedName>
    <definedName name="_xlnm._FilterDatabase" localSheetId="0" hidden="1">'GP별 관심 FI List'!$A$5:$N$363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82" i="1" l="1"/>
  <c r="D81" i="1"/>
  <c r="D80" i="1"/>
  <c r="D79" i="1"/>
  <c r="D78" i="1"/>
  <c r="D77" i="1"/>
  <c r="D73" i="1"/>
  <c r="D70" i="1"/>
  <c r="D69" i="1"/>
  <c r="D68" i="1"/>
  <c r="D66" i="1"/>
  <c r="D64" i="1"/>
  <c r="D62" i="1"/>
  <c r="D60" i="1"/>
  <c r="D59" i="1"/>
  <c r="D58" i="1"/>
  <c r="D42" i="1"/>
  <c r="D41" i="1"/>
  <c r="D38" i="1"/>
  <c r="D34" i="1"/>
  <c r="D33" i="1"/>
  <c r="D31" i="1"/>
  <c r="D30" i="1"/>
  <c r="D26" i="1"/>
  <c r="D22" i="1"/>
  <c r="D20" i="1"/>
  <c r="D19" i="1"/>
  <c r="D16" i="1"/>
  <c r="D15" i="1"/>
  <c r="D14" i="1"/>
  <c r="D13" i="1"/>
  <c r="D12" i="1"/>
  <c r="D11" i="1"/>
  <c r="D9" i="1"/>
  <c r="D8" i="1"/>
  <c r="D7" i="1"/>
</calcChain>
</file>

<file path=xl/sharedStrings.xml><?xml version="1.0" encoding="utf-8"?>
<sst xmlns="http://schemas.openxmlformats.org/spreadsheetml/2006/main" count="10022" uniqueCount="1588">
  <si>
    <r>
      <rPr>
        <b/>
        <sz val="14"/>
        <color rgb="FF1F4E79"/>
        <rFont val="Arial"/>
        <family val="2"/>
      </rPr>
      <t xml:space="preserve">M&amp;A </t>
    </r>
    <r>
      <rPr>
        <b/>
        <sz val="14"/>
        <color rgb="FF1F4E79"/>
        <rFont val="DejaVu Sans"/>
        <family val="2"/>
      </rPr>
      <t xml:space="preserve">관심 </t>
    </r>
    <r>
      <rPr>
        <b/>
        <sz val="14"/>
        <color rgb="FF1F4E79"/>
        <rFont val="Arial"/>
        <family val="2"/>
      </rPr>
      <t>FI List - GP</t>
    </r>
    <r>
      <rPr>
        <b/>
        <sz val="14"/>
        <color rgb="FF1F4E79"/>
        <rFont val="DejaVu Sans"/>
        <family val="2"/>
      </rPr>
      <t xml:space="preserve">별 약정금액 범위 및 투자분야 분석 </t>
    </r>
    <r>
      <rPr>
        <b/>
        <sz val="14"/>
        <color rgb="FF1F4E79"/>
        <rFont val="Arial"/>
        <family val="2"/>
      </rPr>
      <t>(v3)</t>
    </r>
  </si>
  <si>
    <r>
      <rPr>
        <sz val="10"/>
        <color rgb="FF666666"/>
        <rFont val="DejaVu Sans"/>
        <family val="2"/>
      </rPr>
      <t>기준</t>
    </r>
    <r>
      <rPr>
        <sz val="10"/>
        <color rgb="FF666666"/>
        <rFont val="Arial"/>
        <family val="2"/>
      </rPr>
      <t>: 2021~2024</t>
    </r>
    <r>
      <rPr>
        <sz val="10"/>
        <color rgb="FF666666"/>
        <rFont val="DejaVu Sans"/>
        <family val="2"/>
      </rPr>
      <t xml:space="preserve">년 투자경험 보유 </t>
    </r>
    <r>
      <rPr>
        <sz val="10"/>
        <color rgb="FF666666"/>
        <rFont val="Arial"/>
        <family val="2"/>
      </rPr>
      <t>GP (358</t>
    </r>
    <r>
      <rPr>
        <sz val="10"/>
        <color rgb="FF666666"/>
        <rFont val="DejaVu Sans"/>
        <family val="2"/>
      </rPr>
      <t>개</t>
    </r>
    <r>
      <rPr>
        <sz val="10"/>
        <color rgb="FF666666"/>
        <rFont val="Arial"/>
        <family val="2"/>
      </rPr>
      <t xml:space="preserve">) | </t>
    </r>
    <r>
      <rPr>
        <sz val="10"/>
        <color rgb="FF666666"/>
        <rFont val="DejaVu Sans"/>
        <family val="2"/>
      </rPr>
      <t>최소</t>
    </r>
    <r>
      <rPr>
        <sz val="10"/>
        <color rgb="FF666666"/>
        <rFont val="Arial"/>
        <family val="2"/>
      </rPr>
      <t>/</t>
    </r>
    <r>
      <rPr>
        <sz val="10"/>
        <color rgb="FF666666"/>
        <rFont val="DejaVu Sans"/>
        <family val="2"/>
      </rPr>
      <t xml:space="preserve">최대 약정분담액 </t>
    </r>
    <r>
      <rPr>
        <sz val="10"/>
        <color rgb="FF666666"/>
        <rFont val="Arial"/>
        <family val="2"/>
      </rPr>
      <t xml:space="preserve">= </t>
    </r>
    <r>
      <rPr>
        <sz val="10"/>
        <color rgb="FF666666"/>
        <rFont val="DejaVu Sans"/>
        <family val="2"/>
      </rPr>
      <t xml:space="preserve">과거 전체 </t>
    </r>
    <r>
      <rPr>
        <sz val="10"/>
        <color rgb="FF666666"/>
        <rFont val="Arial"/>
        <family val="2"/>
      </rPr>
      <t xml:space="preserve">PEF </t>
    </r>
    <r>
      <rPr>
        <sz val="10"/>
        <color rgb="FF666666"/>
        <rFont val="DejaVu Sans"/>
        <family val="2"/>
      </rPr>
      <t xml:space="preserve">중 </t>
    </r>
    <r>
      <rPr>
        <sz val="10"/>
        <color rgb="FF666666"/>
        <rFont val="Arial"/>
        <family val="2"/>
      </rPr>
      <t>GP</t>
    </r>
    <r>
      <rPr>
        <sz val="10"/>
        <color rgb="FF666666"/>
        <rFont val="DejaVu Sans"/>
        <family val="2"/>
      </rPr>
      <t xml:space="preserve">수 균등분배 기준 </t>
    </r>
    <r>
      <rPr>
        <sz val="10"/>
        <color rgb="FF666666"/>
        <rFont val="Arial"/>
        <family val="2"/>
      </rPr>
      <t>| M</t>
    </r>
    <r>
      <rPr>
        <sz val="10"/>
        <color rgb="FF666666"/>
        <rFont val="DejaVu Sans"/>
        <family val="2"/>
      </rPr>
      <t>열</t>
    </r>
    <r>
      <rPr>
        <sz val="10"/>
        <color rgb="FF666666"/>
        <rFont val="Arial"/>
        <family val="2"/>
      </rPr>
      <t xml:space="preserve">: </t>
    </r>
    <r>
      <rPr>
        <sz val="10"/>
        <color rgb="FF666666"/>
        <rFont val="DejaVu Sans"/>
        <family val="2"/>
      </rPr>
      <t>웹검색 기반 투자분야</t>
    </r>
  </si>
  <si>
    <r>
      <rPr>
        <sz val="10"/>
        <color rgb="FF666666"/>
        <rFont val="DejaVu Sans"/>
        <family val="2"/>
      </rPr>
      <t>데이터 출처</t>
    </r>
    <r>
      <rPr>
        <sz val="10"/>
        <color rgb="FF666666"/>
        <rFont val="Arial"/>
        <family val="2"/>
      </rPr>
      <t xml:space="preserve">: </t>
    </r>
    <r>
      <rPr>
        <sz val="10"/>
        <color rgb="FF666666"/>
        <rFont val="DejaVu Sans"/>
        <family val="2"/>
      </rPr>
      <t xml:space="preserve">기관전용 사모집합투자기구 현황 </t>
    </r>
    <r>
      <rPr>
        <sz val="10"/>
        <color rgb="FF666666"/>
        <rFont val="Arial"/>
        <family val="2"/>
      </rPr>
      <t>(2024.12</t>
    </r>
    <r>
      <rPr>
        <sz val="10"/>
        <color rgb="FF666666"/>
        <rFont val="DejaVu Sans"/>
        <family val="2"/>
      </rPr>
      <t>월말 기준</t>
    </r>
    <r>
      <rPr>
        <sz val="10"/>
        <color rgb="FF666666"/>
        <rFont val="Arial"/>
        <family val="2"/>
      </rPr>
      <t xml:space="preserve">) | </t>
    </r>
    <r>
      <rPr>
        <sz val="10"/>
        <color rgb="FF666666"/>
        <rFont val="DejaVu Sans"/>
        <family val="2"/>
      </rPr>
      <t>작성일</t>
    </r>
    <r>
      <rPr>
        <sz val="10"/>
        <color rgb="FF666666"/>
        <rFont val="Arial"/>
        <family val="2"/>
      </rPr>
      <t>: 2026-03-03</t>
    </r>
  </si>
  <si>
    <t>No.</t>
  </si>
  <si>
    <r>
      <rPr>
        <b/>
        <sz val="11"/>
        <color rgb="FFFFFFFF"/>
        <rFont val="Arial"/>
        <family val="2"/>
      </rPr>
      <t>GP</t>
    </r>
    <r>
      <rPr>
        <b/>
        <sz val="11"/>
        <color rgb="FFFFFFFF"/>
        <rFont val="DejaVu Sans"/>
        <family val="2"/>
      </rPr>
      <t>명</t>
    </r>
  </si>
  <si>
    <r>
      <rPr>
        <b/>
        <sz val="11"/>
        <color rgb="FFFFFFFF"/>
        <rFont val="DejaVu Sans"/>
        <family val="2"/>
      </rPr>
      <t>최소약정
분담액</t>
    </r>
    <r>
      <rPr>
        <b/>
        <sz val="11"/>
        <color rgb="FFFFFFFF"/>
        <rFont val="Arial"/>
        <family val="2"/>
      </rPr>
      <t>(</t>
    </r>
    <r>
      <rPr>
        <b/>
        <sz val="11"/>
        <color rgb="FFFFFFFF"/>
        <rFont val="DejaVu Sans"/>
        <family val="2"/>
      </rPr>
      <t>억원</t>
    </r>
    <r>
      <rPr>
        <b/>
        <sz val="11"/>
        <color rgb="FFFFFFFF"/>
        <rFont val="Arial"/>
        <family val="2"/>
      </rPr>
      <t>)</t>
    </r>
  </si>
  <si>
    <r>
      <rPr>
        <b/>
        <sz val="11"/>
        <color rgb="FFFFFFFF"/>
        <rFont val="DejaVu Sans"/>
        <family val="2"/>
      </rPr>
      <t>최대약정
분담액</t>
    </r>
    <r>
      <rPr>
        <b/>
        <sz val="11"/>
        <color rgb="FFFFFFFF"/>
        <rFont val="Arial"/>
        <family val="2"/>
      </rPr>
      <t>(</t>
    </r>
    <r>
      <rPr>
        <b/>
        <sz val="11"/>
        <color rgb="FFFFFFFF"/>
        <rFont val="DejaVu Sans"/>
        <family val="2"/>
      </rPr>
      <t>억원</t>
    </r>
    <r>
      <rPr>
        <b/>
        <sz val="11"/>
        <color rgb="FFFFFFFF"/>
        <rFont val="Arial"/>
        <family val="2"/>
      </rPr>
      <t>)</t>
    </r>
  </si>
  <si>
    <r>
      <rPr>
        <b/>
        <sz val="11"/>
        <color rgb="FFFFFFFF"/>
        <rFont val="DejaVu Sans"/>
        <family val="2"/>
      </rPr>
      <t xml:space="preserve">전체
</t>
    </r>
    <r>
      <rPr>
        <b/>
        <sz val="11"/>
        <color rgb="FFFFFFFF"/>
        <rFont val="Arial"/>
        <family val="2"/>
      </rPr>
      <t>PEF</t>
    </r>
    <r>
      <rPr>
        <b/>
        <sz val="11"/>
        <color rgb="FFFFFFFF"/>
        <rFont val="DejaVu Sans"/>
        <family val="2"/>
      </rPr>
      <t>수</t>
    </r>
  </si>
  <si>
    <r>
      <rPr>
        <b/>
        <sz val="11"/>
        <color rgb="FFFFFFFF"/>
        <rFont val="Arial"/>
        <family val="2"/>
      </rPr>
      <t>21-24</t>
    </r>
    <r>
      <rPr>
        <b/>
        <sz val="11"/>
        <color rgb="FFFFFFFF"/>
        <rFont val="DejaVu Sans"/>
        <family val="2"/>
      </rPr>
      <t xml:space="preserve">년
</t>
    </r>
    <r>
      <rPr>
        <b/>
        <sz val="11"/>
        <color rgb="FFFFFFFF"/>
        <rFont val="Arial"/>
        <family val="2"/>
      </rPr>
      <t>PEF</t>
    </r>
    <r>
      <rPr>
        <b/>
        <sz val="11"/>
        <color rgb="FFFFFFFF"/>
        <rFont val="DejaVu Sans"/>
        <family val="2"/>
      </rPr>
      <t>수</t>
    </r>
  </si>
  <si>
    <r>
      <rPr>
        <b/>
        <sz val="11"/>
        <color rgb="FFFFFFFF"/>
        <rFont val="Arial"/>
        <family val="2"/>
      </rPr>
      <t>21-24</t>
    </r>
    <r>
      <rPr>
        <b/>
        <sz val="11"/>
        <color rgb="FFFFFFFF"/>
        <rFont val="DejaVu Sans"/>
        <family val="2"/>
      </rPr>
      <t>년
약정분담합계</t>
    </r>
    <r>
      <rPr>
        <b/>
        <sz val="11"/>
        <color rgb="FFFFFFFF"/>
        <rFont val="Arial"/>
        <family val="2"/>
      </rPr>
      <t>(</t>
    </r>
    <r>
      <rPr>
        <b/>
        <sz val="11"/>
        <color rgb="FFFFFFFF"/>
        <rFont val="DejaVu Sans"/>
        <family val="2"/>
      </rPr>
      <t>억원</t>
    </r>
    <r>
      <rPr>
        <b/>
        <sz val="11"/>
        <color rgb="FFFFFFFF"/>
        <rFont val="Arial"/>
        <family val="2"/>
      </rPr>
      <t>)</t>
    </r>
  </si>
  <si>
    <r>
      <rPr>
        <b/>
        <sz val="11"/>
        <color rgb="FFFFFFFF"/>
        <rFont val="DejaVu Sans"/>
        <family val="2"/>
      </rPr>
      <t>총약정
분담합계</t>
    </r>
    <r>
      <rPr>
        <b/>
        <sz val="11"/>
        <color rgb="FFFFFFFF"/>
        <rFont val="Arial"/>
        <family val="2"/>
      </rPr>
      <t>(</t>
    </r>
    <r>
      <rPr>
        <b/>
        <sz val="11"/>
        <color rgb="FFFFFFFF"/>
        <rFont val="DejaVu Sans"/>
        <family val="2"/>
      </rPr>
      <t>억원</t>
    </r>
    <r>
      <rPr>
        <b/>
        <sz val="11"/>
        <color rgb="FFFFFFFF"/>
        <rFont val="Arial"/>
        <family val="2"/>
      </rPr>
      <t>)</t>
    </r>
  </si>
  <si>
    <r>
      <rPr>
        <b/>
        <sz val="11"/>
        <color rgb="FFFFFFFF"/>
        <rFont val="Arial"/>
        <family val="2"/>
      </rPr>
      <t>2021</t>
    </r>
    <r>
      <rPr>
        <b/>
        <sz val="11"/>
        <color rgb="FFFFFFFF"/>
        <rFont val="DejaVu Sans"/>
        <family val="2"/>
      </rPr>
      <t>년
건수</t>
    </r>
  </si>
  <si>
    <r>
      <rPr>
        <b/>
        <sz val="11"/>
        <color rgb="FFFFFFFF"/>
        <rFont val="Arial"/>
        <family val="2"/>
      </rPr>
      <t>2022</t>
    </r>
    <r>
      <rPr>
        <b/>
        <sz val="11"/>
        <color rgb="FFFFFFFF"/>
        <rFont val="DejaVu Sans"/>
        <family val="2"/>
      </rPr>
      <t>년
건수</t>
    </r>
  </si>
  <si>
    <r>
      <rPr>
        <b/>
        <sz val="11"/>
        <color rgb="FFFFFFFF"/>
        <rFont val="Arial"/>
        <family val="2"/>
      </rPr>
      <t>2023</t>
    </r>
    <r>
      <rPr>
        <b/>
        <sz val="11"/>
        <color rgb="FFFFFFFF"/>
        <rFont val="DejaVu Sans"/>
        <family val="2"/>
      </rPr>
      <t>년
건수</t>
    </r>
  </si>
  <si>
    <r>
      <rPr>
        <b/>
        <sz val="11"/>
        <color rgb="FFFFFFFF"/>
        <rFont val="Arial"/>
        <family val="2"/>
      </rPr>
      <t>2024</t>
    </r>
    <r>
      <rPr>
        <b/>
        <sz val="11"/>
        <color rgb="FFFFFFFF"/>
        <rFont val="DejaVu Sans"/>
        <family val="2"/>
      </rPr>
      <t>년
건수</t>
    </r>
  </si>
  <si>
    <r>
      <rPr>
        <b/>
        <sz val="11"/>
        <color rgb="FFFFFFFF"/>
        <rFont val="DejaVu Sans"/>
        <family val="2"/>
      </rPr>
      <t xml:space="preserve">투자분야 </t>
    </r>
    <r>
      <rPr>
        <b/>
        <sz val="11"/>
        <color rgb="FFFFFFFF"/>
        <rFont val="Arial"/>
        <family val="2"/>
      </rPr>
      <t xml:space="preserve">/ </t>
    </r>
    <r>
      <rPr>
        <b/>
        <sz val="11"/>
        <color rgb="FFFFFFFF"/>
        <rFont val="DejaVu Sans"/>
        <family val="2"/>
      </rPr>
      <t>주요 포트폴리오</t>
    </r>
  </si>
  <si>
    <t>엠비케이파트너스</t>
  </si>
  <si>
    <r>
      <rPr>
        <sz val="10"/>
        <rFont val="DejaVu Sans"/>
        <family val="2"/>
      </rPr>
      <t>소비재</t>
    </r>
    <r>
      <rPr>
        <sz val="10"/>
        <rFont val="Arial"/>
        <family val="2"/>
      </rPr>
      <t>/</t>
    </r>
    <r>
      <rPr>
        <sz val="10"/>
        <rFont val="DejaVu Sans"/>
        <family val="2"/>
      </rPr>
      <t>유통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헬스케어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미디어</t>
    </r>
    <r>
      <rPr>
        <sz val="10"/>
        <rFont val="Arial"/>
        <family val="2"/>
      </rPr>
      <t>/</t>
    </r>
    <r>
      <rPr>
        <sz val="10"/>
        <rFont val="DejaVu Sans"/>
        <family val="2"/>
      </rPr>
      <t>통신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금융</t>
    </r>
    <r>
      <rPr>
        <sz val="10"/>
        <rFont val="Arial"/>
        <family val="2"/>
      </rPr>
      <t>, IT/</t>
    </r>
    <r>
      <rPr>
        <sz val="10"/>
        <rFont val="DejaVu Sans"/>
        <family val="2"/>
      </rPr>
      <t>소프트웨어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 xml:space="preserve">제조업 </t>
    </r>
    <r>
      <rPr>
        <sz val="10"/>
        <rFont val="Arial"/>
        <family val="2"/>
      </rPr>
      <t xml:space="preserve">| </t>
    </r>
    <r>
      <rPr>
        <sz val="10"/>
        <rFont val="DejaVu Sans"/>
        <family val="2"/>
      </rPr>
      <t>투자기업</t>
    </r>
    <r>
      <rPr>
        <sz val="10"/>
        <rFont val="Arial"/>
        <family val="2"/>
      </rPr>
      <t xml:space="preserve">: </t>
    </r>
    <r>
      <rPr>
        <sz val="10"/>
        <rFont val="DejaVu Sans"/>
        <family val="2"/>
      </rPr>
      <t>코웨이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홈플러스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딜라이브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네파</t>
    </r>
    <r>
      <rPr>
        <sz val="10"/>
        <rFont val="Arial"/>
        <family val="2"/>
      </rPr>
      <t>, DN</t>
    </r>
    <r>
      <rPr>
        <sz val="10"/>
        <rFont val="DejaVu Sans"/>
        <family val="2"/>
      </rPr>
      <t>솔루션즈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 xml:space="preserve">오스템임플란트 외 </t>
    </r>
    <r>
      <rPr>
        <sz val="10"/>
        <rFont val="Arial"/>
        <family val="2"/>
      </rPr>
      <t>7</t>
    </r>
    <r>
      <rPr>
        <sz val="10"/>
        <rFont val="DejaVu Sans"/>
        <family val="2"/>
      </rPr>
      <t>개</t>
    </r>
  </si>
  <si>
    <t>한앤컴퍼니</t>
  </si>
  <si>
    <r>
      <rPr>
        <sz val="10"/>
        <rFont val="DejaVu Sans"/>
        <family val="2"/>
      </rPr>
      <t>자동차부품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해운</t>
    </r>
    <r>
      <rPr>
        <sz val="10"/>
        <rFont val="Arial"/>
        <family val="2"/>
      </rPr>
      <t>/</t>
    </r>
    <r>
      <rPr>
        <sz val="10"/>
        <rFont val="DejaVu Sans"/>
        <family val="2"/>
      </rPr>
      <t>물류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시멘트</t>
    </r>
    <r>
      <rPr>
        <sz val="10"/>
        <rFont val="Arial"/>
        <family val="2"/>
      </rPr>
      <t>/</t>
    </r>
    <r>
      <rPr>
        <sz val="10"/>
        <rFont val="DejaVu Sans"/>
        <family val="2"/>
      </rPr>
      <t>건자재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호텔</t>
    </r>
    <r>
      <rPr>
        <sz val="10"/>
        <rFont val="Arial"/>
        <family val="2"/>
      </rPr>
      <t>/</t>
    </r>
    <r>
      <rPr>
        <sz val="10"/>
        <rFont val="DejaVu Sans"/>
        <family val="2"/>
      </rPr>
      <t>관광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유제품</t>
    </r>
    <r>
      <rPr>
        <sz val="10"/>
        <rFont val="Arial"/>
        <family val="2"/>
      </rPr>
      <t>/</t>
    </r>
    <r>
      <rPr>
        <sz val="10"/>
        <rFont val="DejaVu Sans"/>
        <family val="2"/>
      </rPr>
      <t>식품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특수가스</t>
    </r>
    <r>
      <rPr>
        <sz val="10"/>
        <rFont val="Arial"/>
        <family val="2"/>
      </rPr>
      <t>/</t>
    </r>
    <r>
      <rPr>
        <sz val="10"/>
        <rFont val="DejaVu Sans"/>
        <family val="2"/>
      </rPr>
      <t>화학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 xml:space="preserve">반도체소재 </t>
    </r>
    <r>
      <rPr>
        <sz val="10"/>
        <rFont val="Arial"/>
        <family val="2"/>
      </rPr>
      <t xml:space="preserve">| </t>
    </r>
    <r>
      <rPr>
        <sz val="10"/>
        <rFont val="DejaVu Sans"/>
        <family val="2"/>
      </rPr>
      <t>투자기업</t>
    </r>
    <r>
      <rPr>
        <sz val="10"/>
        <rFont val="Arial"/>
        <family val="2"/>
      </rPr>
      <t xml:space="preserve">: </t>
    </r>
    <r>
      <rPr>
        <sz val="10"/>
        <rFont val="DejaVu Sans"/>
        <family val="2"/>
      </rPr>
      <t>한온시스템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에이치라인해운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쌍용</t>
    </r>
    <r>
      <rPr>
        <sz val="10"/>
        <rFont val="Arial"/>
        <family val="2"/>
      </rPr>
      <t xml:space="preserve">C&amp;E, </t>
    </r>
    <r>
      <rPr>
        <sz val="10"/>
        <rFont val="DejaVu Sans"/>
        <family val="2"/>
      </rPr>
      <t>라한호텔</t>
    </r>
    <r>
      <rPr>
        <sz val="10"/>
        <rFont val="Arial"/>
        <family val="2"/>
      </rPr>
      <t>, SK</t>
    </r>
    <r>
      <rPr>
        <sz val="10"/>
        <rFont val="DejaVu Sans"/>
        <family val="2"/>
      </rPr>
      <t>해운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 xml:space="preserve">남양유업 외 </t>
    </r>
    <r>
      <rPr>
        <sz val="10"/>
        <rFont val="Arial"/>
        <family val="2"/>
      </rPr>
      <t>2</t>
    </r>
    <r>
      <rPr>
        <sz val="10"/>
        <rFont val="DejaVu Sans"/>
        <family val="2"/>
      </rPr>
      <t>개</t>
    </r>
  </si>
  <si>
    <t>아이엠엠프라이빗에쿼티</t>
  </si>
  <si>
    <r>
      <rPr>
        <sz val="10"/>
        <rFont val="DejaVu Sans"/>
        <family val="2"/>
      </rPr>
      <t>환경</t>
    </r>
    <r>
      <rPr>
        <sz val="10"/>
        <rFont val="Arial"/>
        <family val="2"/>
      </rPr>
      <t>/</t>
    </r>
    <r>
      <rPr>
        <sz val="10"/>
        <rFont val="DejaVu Sans"/>
        <family val="2"/>
      </rPr>
      <t>폐기물</t>
    </r>
    <r>
      <rPr>
        <sz val="10"/>
        <rFont val="Arial"/>
        <family val="2"/>
      </rPr>
      <t>, IT/</t>
    </r>
    <r>
      <rPr>
        <sz val="10"/>
        <rFont val="DejaVu Sans"/>
        <family val="2"/>
      </rPr>
      <t>클라우드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여행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화장품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제약</t>
    </r>
    <r>
      <rPr>
        <sz val="10"/>
        <rFont val="Arial"/>
        <family val="2"/>
      </rPr>
      <t xml:space="preserve">/CDMO | </t>
    </r>
    <r>
      <rPr>
        <sz val="10"/>
        <rFont val="DejaVu Sans"/>
        <family val="2"/>
      </rPr>
      <t>투자기업</t>
    </r>
    <r>
      <rPr>
        <sz val="10"/>
        <rFont val="Arial"/>
        <family val="2"/>
      </rPr>
      <t xml:space="preserve">: </t>
    </r>
    <r>
      <rPr>
        <sz val="10"/>
        <rFont val="DejaVu Sans"/>
        <family val="2"/>
      </rPr>
      <t>에코비트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하나투어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에이블씨엔씨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제뉴원사이언스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메가존클라우드</t>
    </r>
  </si>
  <si>
    <t>스틱인베스트먼트</t>
  </si>
  <si>
    <r>
      <rPr>
        <sz val="10"/>
        <rFont val="DejaVu Sans"/>
        <family val="2"/>
      </rPr>
      <t>레저</t>
    </r>
    <r>
      <rPr>
        <sz val="10"/>
        <rFont val="Arial"/>
        <family val="2"/>
      </rPr>
      <t>/</t>
    </r>
    <r>
      <rPr>
        <sz val="10"/>
        <rFont val="DejaVu Sans"/>
        <family val="2"/>
      </rPr>
      <t>스포츠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엔터테인먼트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에너지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물류</t>
    </r>
    <r>
      <rPr>
        <sz val="10"/>
        <rFont val="Arial"/>
        <family val="2"/>
      </rPr>
      <t>/</t>
    </r>
    <r>
      <rPr>
        <sz val="10"/>
        <rFont val="DejaVu Sans"/>
        <family val="2"/>
      </rPr>
      <t>터미널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 xml:space="preserve">모빌리티 </t>
    </r>
    <r>
      <rPr>
        <sz val="10"/>
        <rFont val="Arial"/>
        <family val="2"/>
      </rPr>
      <t xml:space="preserve">| </t>
    </r>
    <r>
      <rPr>
        <sz val="10"/>
        <rFont val="DejaVu Sans"/>
        <family val="2"/>
      </rPr>
      <t>투자기업</t>
    </r>
    <r>
      <rPr>
        <sz val="10"/>
        <rFont val="Arial"/>
        <family val="2"/>
      </rPr>
      <t xml:space="preserve">: </t>
    </r>
    <r>
      <rPr>
        <sz val="10"/>
        <rFont val="DejaVu Sans"/>
        <family val="2"/>
      </rPr>
      <t>골프존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하이브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포스코에너지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현대오일터미널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그랩</t>
    </r>
  </si>
  <si>
    <t>연합자산관리</t>
  </si>
  <si>
    <r>
      <rPr>
        <sz val="10"/>
        <rFont val="DejaVu Sans"/>
        <family val="2"/>
      </rPr>
      <t>부실채권</t>
    </r>
    <r>
      <rPr>
        <sz val="10"/>
        <rFont val="Arial"/>
        <family val="2"/>
      </rPr>
      <t xml:space="preserve">(NPL), </t>
    </r>
    <r>
      <rPr>
        <sz val="10"/>
        <rFont val="DejaVu Sans"/>
        <family val="2"/>
      </rPr>
      <t>기업구조조정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자산유동화</t>
    </r>
  </si>
  <si>
    <t>스카이레이크에쿼티파트너스</t>
  </si>
  <si>
    <r>
      <rPr>
        <sz val="10"/>
        <rFont val="Arial"/>
        <family val="2"/>
      </rPr>
      <t>IT/</t>
    </r>
    <r>
      <rPr>
        <sz val="10"/>
        <rFont val="DejaVu Sans"/>
        <family val="2"/>
      </rPr>
      <t>소프트웨어</t>
    </r>
    <r>
      <rPr>
        <sz val="10"/>
        <rFont val="Arial"/>
        <family val="2"/>
      </rPr>
      <t>, HR</t>
    </r>
    <r>
      <rPr>
        <sz val="10"/>
        <rFont val="DejaVu Sans"/>
        <family val="2"/>
      </rPr>
      <t>테크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반도체</t>
    </r>
    <r>
      <rPr>
        <sz val="10"/>
        <rFont val="Arial"/>
        <family val="2"/>
      </rPr>
      <t xml:space="preserve">/AI | </t>
    </r>
    <r>
      <rPr>
        <sz val="10"/>
        <rFont val="DejaVu Sans"/>
        <family val="2"/>
      </rPr>
      <t>투자기업</t>
    </r>
    <r>
      <rPr>
        <sz val="10"/>
        <rFont val="Arial"/>
        <family val="2"/>
      </rPr>
      <t xml:space="preserve">: </t>
    </r>
    <r>
      <rPr>
        <sz val="10"/>
        <rFont val="DejaVu Sans"/>
        <family val="2"/>
      </rPr>
      <t>쉬프티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비즈니스온커뮤니케이션</t>
    </r>
    <r>
      <rPr>
        <sz val="10"/>
        <rFont val="Arial"/>
        <family val="2"/>
      </rPr>
      <t>, DEEPX</t>
    </r>
  </si>
  <si>
    <t>맥쿼리자산운용</t>
  </si>
  <si>
    <r>
      <rPr>
        <sz val="10"/>
        <rFont val="DejaVu Sans"/>
        <family val="2"/>
      </rPr>
      <t>산업가스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보안</t>
    </r>
    <r>
      <rPr>
        <sz val="10"/>
        <rFont val="Arial"/>
        <family val="2"/>
      </rPr>
      <t>/</t>
    </r>
    <r>
      <rPr>
        <sz val="10"/>
        <rFont val="DejaVu Sans"/>
        <family val="2"/>
      </rPr>
      <t>경비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환경</t>
    </r>
    <r>
      <rPr>
        <sz val="10"/>
        <rFont val="Arial"/>
        <family val="2"/>
      </rPr>
      <t>/</t>
    </r>
    <r>
      <rPr>
        <sz val="10"/>
        <rFont val="DejaVu Sans"/>
        <family val="2"/>
      </rPr>
      <t>폐기물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에너지</t>
    </r>
    <r>
      <rPr>
        <sz val="10"/>
        <rFont val="Arial"/>
        <family val="2"/>
      </rPr>
      <t>, IT</t>
    </r>
    <r>
      <rPr>
        <sz val="10"/>
        <rFont val="DejaVu Sans"/>
        <family val="2"/>
      </rPr>
      <t xml:space="preserve">서비스 </t>
    </r>
    <r>
      <rPr>
        <sz val="10"/>
        <rFont val="Arial"/>
        <family val="2"/>
      </rPr>
      <t xml:space="preserve">| </t>
    </r>
    <r>
      <rPr>
        <sz val="10"/>
        <rFont val="DejaVu Sans"/>
        <family val="2"/>
      </rPr>
      <t>투자기업</t>
    </r>
    <r>
      <rPr>
        <sz val="10"/>
        <rFont val="Arial"/>
        <family val="2"/>
      </rPr>
      <t>: DIG</t>
    </r>
    <r>
      <rPr>
        <sz val="10"/>
        <rFont val="DejaVu Sans"/>
        <family val="2"/>
      </rPr>
      <t>에어가스</t>
    </r>
    <r>
      <rPr>
        <sz val="10"/>
        <rFont val="Arial"/>
        <family val="2"/>
      </rPr>
      <t>, SK</t>
    </r>
    <r>
      <rPr>
        <sz val="10"/>
        <rFont val="DejaVu Sans"/>
        <family val="2"/>
      </rPr>
      <t>쉴더스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코엔텍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새한환경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어프로티움</t>
    </r>
    <r>
      <rPr>
        <sz val="10"/>
        <rFont val="Arial"/>
        <family val="2"/>
      </rPr>
      <t>, LG CNS</t>
    </r>
  </si>
  <si>
    <t>아이엠엠인베스트먼트</t>
  </si>
  <si>
    <r>
      <rPr>
        <sz val="10"/>
        <rFont val="DejaVu Sans"/>
        <family val="2"/>
      </rPr>
      <t>벤처캐피탈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바이오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부동산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패션</t>
    </r>
    <r>
      <rPr>
        <sz val="10"/>
        <rFont val="Arial"/>
        <family val="2"/>
      </rPr>
      <t>/</t>
    </r>
    <r>
      <rPr>
        <sz val="10"/>
        <rFont val="DejaVu Sans"/>
        <family val="2"/>
      </rPr>
      <t>소비재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 xml:space="preserve">기술 </t>
    </r>
    <r>
      <rPr>
        <sz val="10"/>
        <rFont val="Arial"/>
        <family val="2"/>
      </rPr>
      <t xml:space="preserve">| </t>
    </r>
    <r>
      <rPr>
        <sz val="10"/>
        <rFont val="DejaVu Sans"/>
        <family val="2"/>
      </rPr>
      <t>투자기업</t>
    </r>
    <r>
      <rPr>
        <sz val="10"/>
        <rFont val="Arial"/>
        <family val="2"/>
      </rPr>
      <t xml:space="preserve">: </t>
    </r>
    <r>
      <rPr>
        <sz val="10"/>
        <rFont val="DejaVu Sans"/>
        <family val="2"/>
      </rPr>
      <t>셀트리온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직방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무신사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패스트파이브</t>
    </r>
  </si>
  <si>
    <t>글랜우드프라이빗에쿼티</t>
  </si>
  <si>
    <r>
      <rPr>
        <sz val="10"/>
        <rFont val="DejaVu Sans"/>
        <family val="2"/>
      </rPr>
      <t>유리</t>
    </r>
    <r>
      <rPr>
        <sz val="10"/>
        <rFont val="Arial"/>
        <family val="2"/>
      </rPr>
      <t>/</t>
    </r>
    <r>
      <rPr>
        <sz val="10"/>
        <rFont val="DejaVu Sans"/>
        <family val="2"/>
      </rPr>
      <t>건자재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도시가스</t>
    </r>
    <r>
      <rPr>
        <sz val="10"/>
        <rFont val="Arial"/>
        <family val="2"/>
      </rPr>
      <t>/</t>
    </r>
    <r>
      <rPr>
        <sz val="10"/>
        <rFont val="DejaVu Sans"/>
        <family val="2"/>
      </rPr>
      <t>에너지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시멘트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수처리</t>
    </r>
    <r>
      <rPr>
        <sz val="10"/>
        <rFont val="Arial"/>
        <family val="2"/>
      </rPr>
      <t>/</t>
    </r>
    <r>
      <rPr>
        <sz val="10"/>
        <rFont val="DejaVu Sans"/>
        <family val="2"/>
      </rPr>
      <t xml:space="preserve">화학 </t>
    </r>
    <r>
      <rPr>
        <sz val="10"/>
        <rFont val="Arial"/>
        <family val="2"/>
      </rPr>
      <t xml:space="preserve">| </t>
    </r>
    <r>
      <rPr>
        <sz val="10"/>
        <rFont val="DejaVu Sans"/>
        <family val="2"/>
      </rPr>
      <t>투자기업</t>
    </r>
    <r>
      <rPr>
        <sz val="10"/>
        <rFont val="Arial"/>
        <family val="2"/>
      </rPr>
      <t xml:space="preserve">: </t>
    </r>
    <r>
      <rPr>
        <sz val="10"/>
        <rFont val="DejaVu Sans"/>
        <family val="2"/>
      </rPr>
      <t>한국유리공업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서라벌도시가스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해양에너지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한라시멘트</t>
    </r>
  </si>
  <si>
    <t>파인트리자산운용</t>
  </si>
  <si>
    <r>
      <rPr>
        <sz val="10"/>
        <rFont val="DejaVu Sans"/>
        <family val="2"/>
      </rPr>
      <t>주류</t>
    </r>
    <r>
      <rPr>
        <sz val="10"/>
        <rFont val="Arial"/>
        <family val="2"/>
      </rPr>
      <t>/</t>
    </r>
    <r>
      <rPr>
        <sz val="10"/>
        <rFont val="DejaVu Sans"/>
        <family val="2"/>
      </rPr>
      <t>소비재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금융</t>
    </r>
    <r>
      <rPr>
        <sz val="10"/>
        <rFont val="Arial"/>
        <family val="2"/>
      </rPr>
      <t>/</t>
    </r>
    <r>
      <rPr>
        <sz val="10"/>
        <rFont val="DejaVu Sans"/>
        <family val="2"/>
      </rPr>
      <t>저축은행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 xml:space="preserve">캐피탈 </t>
    </r>
    <r>
      <rPr>
        <sz val="10"/>
        <rFont val="Arial"/>
        <family val="2"/>
      </rPr>
      <t xml:space="preserve">| </t>
    </r>
    <r>
      <rPr>
        <sz val="10"/>
        <rFont val="DejaVu Sans"/>
        <family val="2"/>
      </rPr>
      <t>투자기업</t>
    </r>
    <r>
      <rPr>
        <sz val="10"/>
        <rFont val="Arial"/>
        <family val="2"/>
      </rPr>
      <t xml:space="preserve">: </t>
    </r>
    <r>
      <rPr>
        <sz val="10"/>
        <rFont val="DejaVu Sans"/>
        <family val="2"/>
      </rPr>
      <t>윈저글로벌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페퍼저축은행</t>
    </r>
    <r>
      <rPr>
        <sz val="10"/>
        <rFont val="Arial"/>
        <family val="2"/>
      </rPr>
      <t>, CNH</t>
    </r>
    <r>
      <rPr>
        <sz val="10"/>
        <rFont val="DejaVu Sans"/>
        <family val="2"/>
      </rPr>
      <t>캐피탈</t>
    </r>
  </si>
  <si>
    <t>한국산업은행</t>
  </si>
  <si>
    <r>
      <rPr>
        <sz val="10"/>
        <rFont val="DejaVu Sans"/>
        <family val="2"/>
      </rPr>
      <t>정책금융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인프라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기업구조조정</t>
    </r>
  </si>
  <si>
    <t>유씨케이파트너스</t>
  </si>
  <si>
    <r>
      <rPr>
        <sz val="10"/>
        <rFont val="DejaVu Sans"/>
        <family val="2"/>
      </rPr>
      <t>식음료</t>
    </r>
    <r>
      <rPr>
        <sz val="10"/>
        <rFont val="Arial"/>
        <family val="2"/>
      </rPr>
      <t>/</t>
    </r>
    <r>
      <rPr>
        <sz val="10"/>
        <rFont val="DejaVu Sans"/>
        <family val="2"/>
      </rPr>
      <t>프랜차이즈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헬스케어</t>
    </r>
    <r>
      <rPr>
        <sz val="10"/>
        <rFont val="Arial"/>
        <family val="2"/>
      </rPr>
      <t>/</t>
    </r>
    <r>
      <rPr>
        <sz val="10"/>
        <rFont val="DejaVu Sans"/>
        <family val="2"/>
      </rPr>
      <t>의료기기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소비재</t>
    </r>
    <r>
      <rPr>
        <sz val="10"/>
        <rFont val="Arial"/>
        <family val="2"/>
      </rPr>
      <t>/</t>
    </r>
    <r>
      <rPr>
        <sz val="10"/>
        <rFont val="DejaVu Sans"/>
        <family val="2"/>
      </rPr>
      <t xml:space="preserve">유통 </t>
    </r>
    <r>
      <rPr>
        <sz val="10"/>
        <rFont val="Arial"/>
        <family val="2"/>
      </rPr>
      <t xml:space="preserve">| </t>
    </r>
    <r>
      <rPr>
        <sz val="10"/>
        <rFont val="DejaVu Sans"/>
        <family val="2"/>
      </rPr>
      <t>투자기업</t>
    </r>
    <r>
      <rPr>
        <sz val="10"/>
        <rFont val="Arial"/>
        <family val="2"/>
      </rPr>
      <t xml:space="preserve">: </t>
    </r>
    <r>
      <rPr>
        <sz val="10"/>
        <rFont val="DejaVu Sans"/>
        <family val="2"/>
      </rPr>
      <t>공차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메디트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오스템임플란트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설빙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피투피시스템즈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에프앤디넷</t>
    </r>
  </si>
  <si>
    <t>제이케이엘파트너스</t>
  </si>
  <si>
    <r>
      <rPr>
        <sz val="10"/>
        <rFont val="DejaVu Sans"/>
        <family val="2"/>
      </rPr>
      <t>서비스</t>
    </r>
    <r>
      <rPr>
        <sz val="10"/>
        <rFont val="Arial"/>
        <family val="2"/>
      </rPr>
      <t>/</t>
    </r>
    <r>
      <rPr>
        <sz val="10"/>
        <rFont val="DejaVu Sans"/>
        <family val="2"/>
      </rPr>
      <t>프랜차이즈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보험</t>
    </r>
    <r>
      <rPr>
        <sz val="10"/>
        <rFont val="Arial"/>
        <family val="2"/>
      </rPr>
      <t>/</t>
    </r>
    <r>
      <rPr>
        <sz val="10"/>
        <rFont val="DejaVu Sans"/>
        <family val="2"/>
      </rPr>
      <t>금융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항공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 xml:space="preserve">식음료 </t>
    </r>
    <r>
      <rPr>
        <sz val="10"/>
        <rFont val="Arial"/>
        <family val="2"/>
      </rPr>
      <t xml:space="preserve">| </t>
    </r>
    <r>
      <rPr>
        <sz val="10"/>
        <rFont val="DejaVu Sans"/>
        <family val="2"/>
      </rPr>
      <t>투자기업</t>
    </r>
    <r>
      <rPr>
        <sz val="10"/>
        <rFont val="Arial"/>
        <family val="2"/>
      </rPr>
      <t xml:space="preserve">: </t>
    </r>
    <r>
      <rPr>
        <sz val="10"/>
        <rFont val="DejaVu Sans"/>
        <family val="2"/>
      </rPr>
      <t>크린토피아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롯데손해보험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티웨이항공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런던베이글</t>
    </r>
  </si>
  <si>
    <t>에스제이엘파트너스</t>
  </si>
  <si>
    <r>
      <rPr>
        <sz val="10"/>
        <rFont val="DejaVu Sans"/>
        <family val="2"/>
      </rPr>
      <t>실리콘</t>
    </r>
    <r>
      <rPr>
        <sz val="10"/>
        <rFont val="Arial"/>
        <family val="2"/>
      </rPr>
      <t>/</t>
    </r>
    <r>
      <rPr>
        <sz val="10"/>
        <rFont val="DejaVu Sans"/>
        <family val="2"/>
      </rPr>
      <t>화학소재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바이오</t>
    </r>
    <r>
      <rPr>
        <sz val="10"/>
        <rFont val="Arial"/>
        <family val="2"/>
      </rPr>
      <t>/</t>
    </r>
    <r>
      <rPr>
        <sz val="10"/>
        <rFont val="DejaVu Sans"/>
        <family val="2"/>
      </rPr>
      <t xml:space="preserve">진단 </t>
    </r>
    <r>
      <rPr>
        <sz val="10"/>
        <rFont val="Arial"/>
        <family val="2"/>
      </rPr>
      <t xml:space="preserve">| </t>
    </r>
    <r>
      <rPr>
        <sz val="10"/>
        <rFont val="DejaVu Sans"/>
        <family val="2"/>
      </rPr>
      <t>투자기업</t>
    </r>
    <r>
      <rPr>
        <sz val="10"/>
        <rFont val="Arial"/>
        <family val="2"/>
      </rPr>
      <t xml:space="preserve">: </t>
    </r>
    <r>
      <rPr>
        <sz val="10"/>
        <rFont val="DejaVu Sans"/>
        <family val="2"/>
      </rPr>
      <t>모멘티브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메리디언바이오사이언스</t>
    </r>
  </si>
  <si>
    <t>프리미어파트너스</t>
  </si>
  <si>
    <r>
      <rPr>
        <sz val="10"/>
        <rFont val="Arial"/>
        <family val="2"/>
      </rPr>
      <t xml:space="preserve">ICT, </t>
    </r>
    <r>
      <rPr>
        <sz val="10"/>
        <rFont val="DejaVu Sans"/>
        <family val="2"/>
      </rPr>
      <t>헬스케어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소비재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 xml:space="preserve">산업 </t>
    </r>
    <r>
      <rPr>
        <sz val="10"/>
        <rFont val="Arial"/>
        <family val="2"/>
      </rPr>
      <t xml:space="preserve">| </t>
    </r>
    <r>
      <rPr>
        <sz val="10"/>
        <rFont val="DejaVu Sans"/>
        <family val="2"/>
      </rPr>
      <t>투자기업</t>
    </r>
    <r>
      <rPr>
        <sz val="10"/>
        <rFont val="Arial"/>
        <family val="2"/>
      </rPr>
      <t xml:space="preserve">: </t>
    </r>
    <r>
      <rPr>
        <sz val="10"/>
        <rFont val="DejaVu Sans"/>
        <family val="2"/>
      </rPr>
      <t>피엔티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대동모빌리티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이랜텍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메디톡스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롯데관광개발</t>
    </r>
  </si>
  <si>
    <t>큐리어스파트너스</t>
  </si>
  <si>
    <r>
      <rPr>
        <sz val="10"/>
        <rFont val="DejaVu Sans"/>
        <family val="2"/>
      </rPr>
      <t>전력기자재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조선</t>
    </r>
    <r>
      <rPr>
        <sz val="10"/>
        <rFont val="Arial"/>
        <family val="2"/>
      </rPr>
      <t>/</t>
    </r>
    <r>
      <rPr>
        <sz val="10"/>
        <rFont val="DejaVu Sans"/>
        <family val="2"/>
      </rPr>
      <t>해양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물류</t>
    </r>
    <r>
      <rPr>
        <sz val="10"/>
        <rFont val="Arial"/>
        <family val="2"/>
      </rPr>
      <t>/</t>
    </r>
    <r>
      <rPr>
        <sz val="10"/>
        <rFont val="DejaVu Sans"/>
        <family val="2"/>
      </rPr>
      <t>터미널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 xml:space="preserve">구조조정 </t>
    </r>
    <r>
      <rPr>
        <sz val="10"/>
        <rFont val="Arial"/>
        <family val="2"/>
      </rPr>
      <t xml:space="preserve">| </t>
    </r>
    <r>
      <rPr>
        <sz val="10"/>
        <rFont val="DejaVu Sans"/>
        <family val="2"/>
      </rPr>
      <t>투자기업</t>
    </r>
    <r>
      <rPr>
        <sz val="10"/>
        <rFont val="Arial"/>
        <family val="2"/>
      </rPr>
      <t xml:space="preserve">: </t>
    </r>
    <r>
      <rPr>
        <sz val="10"/>
        <rFont val="DejaVu Sans"/>
        <family val="2"/>
      </rPr>
      <t>우진기전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성동조선해양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성운탱크터미널</t>
    </r>
  </si>
  <si>
    <t>도미누스인베스트먼트</t>
  </si>
  <si>
    <r>
      <rPr>
        <sz val="10"/>
        <rFont val="Arial"/>
        <family val="2"/>
      </rPr>
      <t>IT, 2</t>
    </r>
    <r>
      <rPr>
        <sz val="10"/>
        <rFont val="DejaVu Sans"/>
        <family val="2"/>
      </rPr>
      <t>차전지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반도체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 xml:space="preserve">그로스에쿼티 </t>
    </r>
    <r>
      <rPr>
        <sz val="10"/>
        <rFont val="Arial"/>
        <family val="2"/>
      </rPr>
      <t xml:space="preserve">| </t>
    </r>
    <r>
      <rPr>
        <sz val="10"/>
        <rFont val="DejaVu Sans"/>
        <family val="2"/>
      </rPr>
      <t>투자기업</t>
    </r>
    <r>
      <rPr>
        <sz val="10"/>
        <rFont val="Arial"/>
        <family val="2"/>
      </rPr>
      <t xml:space="preserve">: </t>
    </r>
    <r>
      <rPr>
        <sz val="10"/>
        <rFont val="DejaVu Sans"/>
        <family val="2"/>
      </rPr>
      <t>미래첨단소재</t>
    </r>
  </si>
  <si>
    <t>센트로이드인베스트먼트파트너스</t>
  </si>
  <si>
    <r>
      <rPr>
        <sz val="10"/>
        <rFont val="DejaVu Sans"/>
        <family val="2"/>
      </rPr>
      <t>골프</t>
    </r>
    <r>
      <rPr>
        <sz val="10"/>
        <rFont val="Arial"/>
        <family val="2"/>
      </rPr>
      <t>/</t>
    </r>
    <r>
      <rPr>
        <sz val="10"/>
        <rFont val="DejaVu Sans"/>
        <family val="2"/>
      </rPr>
      <t>스포츠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레저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 xml:space="preserve">첨단소재 </t>
    </r>
    <r>
      <rPr>
        <sz val="10"/>
        <rFont val="Arial"/>
        <family val="2"/>
      </rPr>
      <t xml:space="preserve">| </t>
    </r>
    <r>
      <rPr>
        <sz val="10"/>
        <rFont val="DejaVu Sans"/>
        <family val="2"/>
      </rPr>
      <t>투자기업</t>
    </r>
    <r>
      <rPr>
        <sz val="10"/>
        <rFont val="Arial"/>
        <family val="2"/>
      </rPr>
      <t xml:space="preserve">: </t>
    </r>
    <r>
      <rPr>
        <sz val="10"/>
        <rFont val="DejaVu Sans"/>
        <family val="2"/>
      </rPr>
      <t>테일러메이드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사우스스프링스</t>
    </r>
    <r>
      <rPr>
        <sz val="10"/>
        <rFont val="Arial"/>
        <family val="2"/>
      </rPr>
      <t xml:space="preserve">CC, </t>
    </r>
    <r>
      <rPr>
        <sz val="10"/>
        <rFont val="DejaVu Sans"/>
        <family val="2"/>
      </rPr>
      <t>코오롱첨단소재</t>
    </r>
  </si>
  <si>
    <t>크레센도에쿼티파트너스</t>
  </si>
  <si>
    <r>
      <rPr>
        <sz val="10"/>
        <rFont val="DejaVu Sans"/>
        <family val="2"/>
      </rPr>
      <t>반도체장비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전자부품</t>
    </r>
    <r>
      <rPr>
        <sz val="10"/>
        <rFont val="Arial"/>
        <family val="2"/>
      </rPr>
      <t>/</t>
    </r>
    <r>
      <rPr>
        <sz val="10"/>
        <rFont val="DejaVu Sans"/>
        <family val="2"/>
      </rPr>
      <t>제조</t>
    </r>
    <r>
      <rPr>
        <sz val="10"/>
        <rFont val="Arial"/>
        <family val="2"/>
      </rPr>
      <t>, IT</t>
    </r>
    <r>
      <rPr>
        <sz val="10"/>
        <rFont val="DejaVu Sans"/>
        <family val="2"/>
      </rPr>
      <t xml:space="preserve">보안 </t>
    </r>
    <r>
      <rPr>
        <sz val="10"/>
        <rFont val="Arial"/>
        <family val="2"/>
      </rPr>
      <t xml:space="preserve">| </t>
    </r>
    <r>
      <rPr>
        <sz val="10"/>
        <rFont val="DejaVu Sans"/>
        <family val="2"/>
      </rPr>
      <t>투자기업</t>
    </r>
    <r>
      <rPr>
        <sz val="10"/>
        <rFont val="Arial"/>
        <family val="2"/>
      </rPr>
      <t xml:space="preserve">: </t>
    </r>
    <r>
      <rPr>
        <sz val="10"/>
        <rFont val="DejaVu Sans"/>
        <family val="2"/>
      </rPr>
      <t>한미반도체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서진시스템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윈스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모델솔루션</t>
    </r>
  </si>
  <si>
    <t>아이엠엠크레딧앤솔루션</t>
  </si>
  <si>
    <r>
      <rPr>
        <sz val="10"/>
        <rFont val="DejaVu Sans"/>
        <family val="2"/>
      </rPr>
      <t>크레딧</t>
    </r>
    <r>
      <rPr>
        <sz val="10"/>
        <rFont val="Arial"/>
        <family val="2"/>
      </rPr>
      <t>/</t>
    </r>
    <r>
      <rPr>
        <sz val="10"/>
        <rFont val="DejaVu Sans"/>
        <family val="2"/>
      </rPr>
      <t>메자닌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소비재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산업재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금융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 xml:space="preserve">기술 </t>
    </r>
    <r>
      <rPr>
        <sz val="10"/>
        <rFont val="Arial"/>
        <family val="2"/>
      </rPr>
      <t xml:space="preserve">| </t>
    </r>
    <r>
      <rPr>
        <sz val="10"/>
        <rFont val="DejaVu Sans"/>
        <family val="2"/>
      </rPr>
      <t>투자기업</t>
    </r>
    <r>
      <rPr>
        <sz val="10"/>
        <rFont val="Arial"/>
        <family val="2"/>
      </rPr>
      <t>: SK</t>
    </r>
    <r>
      <rPr>
        <sz val="10"/>
        <rFont val="DejaVu Sans"/>
        <family val="2"/>
      </rPr>
      <t>넥실리스</t>
    </r>
    <r>
      <rPr>
        <sz val="10"/>
        <rFont val="Arial"/>
        <family val="2"/>
      </rPr>
      <t>, KT</t>
    </r>
    <r>
      <rPr>
        <sz val="10"/>
        <rFont val="DejaVu Sans"/>
        <family val="2"/>
      </rPr>
      <t>클라우드</t>
    </r>
  </si>
  <si>
    <t>어펄마캐피탈매니져스코리아</t>
  </si>
  <si>
    <r>
      <rPr>
        <sz val="10"/>
        <rFont val="DejaVu Sans"/>
        <family val="2"/>
      </rPr>
      <t>렌터카</t>
    </r>
    <r>
      <rPr>
        <sz val="10"/>
        <rFont val="Arial"/>
        <family val="2"/>
      </rPr>
      <t>/</t>
    </r>
    <r>
      <rPr>
        <sz val="10"/>
        <rFont val="DejaVu Sans"/>
        <family val="2"/>
      </rPr>
      <t>모빌리티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식음료</t>
    </r>
    <r>
      <rPr>
        <sz val="10"/>
        <rFont val="Arial"/>
        <family val="2"/>
      </rPr>
      <t>, IT</t>
    </r>
    <r>
      <rPr>
        <sz val="10"/>
        <rFont val="DejaVu Sans"/>
        <family val="2"/>
      </rPr>
      <t>플랫폼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영화</t>
    </r>
    <r>
      <rPr>
        <sz val="10"/>
        <rFont val="Arial"/>
        <family val="2"/>
      </rPr>
      <t>/</t>
    </r>
    <r>
      <rPr>
        <sz val="10"/>
        <rFont val="DejaVu Sans"/>
        <family val="2"/>
      </rPr>
      <t>엔터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 xml:space="preserve">콘텐츠 </t>
    </r>
    <r>
      <rPr>
        <sz val="10"/>
        <rFont val="Arial"/>
        <family val="2"/>
      </rPr>
      <t xml:space="preserve">| </t>
    </r>
    <r>
      <rPr>
        <sz val="10"/>
        <rFont val="DejaVu Sans"/>
        <family val="2"/>
      </rPr>
      <t>투자기업</t>
    </r>
    <r>
      <rPr>
        <sz val="10"/>
        <rFont val="Arial"/>
        <family val="2"/>
      </rPr>
      <t>: AJ</t>
    </r>
    <r>
      <rPr>
        <sz val="10"/>
        <rFont val="DejaVu Sans"/>
        <family val="2"/>
      </rPr>
      <t>렌터카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스무디킹코리아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매드포갈릭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메타넷티플랫폼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메가박스</t>
    </r>
  </si>
  <si>
    <t>케이스톤파트너스</t>
  </si>
  <si>
    <r>
      <rPr>
        <sz val="10"/>
        <rFont val="Arial"/>
        <family val="2"/>
      </rPr>
      <t>IT/</t>
    </r>
    <r>
      <rPr>
        <sz val="10"/>
        <rFont val="DejaVu Sans"/>
        <family val="2"/>
      </rPr>
      <t>게임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기계</t>
    </r>
    <r>
      <rPr>
        <sz val="10"/>
        <rFont val="Arial"/>
        <family val="2"/>
      </rPr>
      <t>/</t>
    </r>
    <r>
      <rPr>
        <sz val="10"/>
        <rFont val="DejaVu Sans"/>
        <family val="2"/>
      </rPr>
      <t xml:space="preserve">부품 </t>
    </r>
    <r>
      <rPr>
        <sz val="10"/>
        <rFont val="Arial"/>
        <family val="2"/>
      </rPr>
      <t xml:space="preserve">| </t>
    </r>
    <r>
      <rPr>
        <sz val="10"/>
        <rFont val="DejaVu Sans"/>
        <family val="2"/>
      </rPr>
      <t>투자기업</t>
    </r>
    <r>
      <rPr>
        <sz val="10"/>
        <rFont val="Arial"/>
        <family val="2"/>
      </rPr>
      <t xml:space="preserve">: </t>
    </r>
    <r>
      <rPr>
        <sz val="10"/>
        <rFont val="DejaVu Sans"/>
        <family val="2"/>
      </rPr>
      <t>세나테크놀로지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세아메카틱스</t>
    </r>
  </si>
  <si>
    <t>이앤에프프라이빗에퀴티</t>
  </si>
  <si>
    <r>
      <rPr>
        <sz val="10"/>
        <rFont val="DejaVu Sans"/>
        <family val="2"/>
      </rPr>
      <t>환경</t>
    </r>
    <r>
      <rPr>
        <sz val="10"/>
        <rFont val="Arial"/>
        <family val="2"/>
      </rPr>
      <t>/</t>
    </r>
    <r>
      <rPr>
        <sz val="10"/>
        <rFont val="DejaVu Sans"/>
        <family val="2"/>
      </rPr>
      <t>폐기물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욕실</t>
    </r>
    <r>
      <rPr>
        <sz val="10"/>
        <rFont val="Arial"/>
        <family val="2"/>
      </rPr>
      <t>/</t>
    </r>
    <r>
      <rPr>
        <sz val="10"/>
        <rFont val="DejaVu Sans"/>
        <family val="2"/>
      </rPr>
      <t>건자재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석재</t>
    </r>
    <r>
      <rPr>
        <sz val="10"/>
        <rFont val="Arial"/>
        <family val="2"/>
      </rPr>
      <t>/</t>
    </r>
    <r>
      <rPr>
        <sz val="10"/>
        <rFont val="DejaVu Sans"/>
        <family val="2"/>
      </rPr>
      <t>건설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레미콘</t>
    </r>
    <r>
      <rPr>
        <sz val="10"/>
        <rFont val="Arial"/>
        <family val="2"/>
      </rPr>
      <t>/</t>
    </r>
    <r>
      <rPr>
        <sz val="10"/>
        <rFont val="DejaVu Sans"/>
        <family val="2"/>
      </rPr>
      <t>골재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 xml:space="preserve">환경에너지 </t>
    </r>
    <r>
      <rPr>
        <sz val="10"/>
        <rFont val="Arial"/>
        <family val="2"/>
      </rPr>
      <t xml:space="preserve">| </t>
    </r>
    <r>
      <rPr>
        <sz val="10"/>
        <rFont val="DejaVu Sans"/>
        <family val="2"/>
      </rPr>
      <t>투자기업</t>
    </r>
    <r>
      <rPr>
        <sz val="10"/>
        <rFont val="Arial"/>
        <family val="2"/>
      </rPr>
      <t xml:space="preserve">: </t>
    </r>
    <r>
      <rPr>
        <sz val="10"/>
        <rFont val="DejaVu Sans"/>
        <family val="2"/>
      </rPr>
      <t>코엔텍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이누스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삼덕개발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한라엔컴</t>
    </r>
    <r>
      <rPr>
        <sz val="10"/>
        <rFont val="Arial"/>
        <family val="2"/>
      </rPr>
      <t>, KG ETS</t>
    </r>
  </si>
  <si>
    <t>미래에셋자산운용</t>
  </si>
  <si>
    <r>
      <rPr>
        <sz val="10"/>
        <rFont val="DejaVu Sans"/>
        <family val="2"/>
      </rPr>
      <t>벤처캐피탈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글로벌투자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부동산</t>
    </r>
  </si>
  <si>
    <t>에이치앤큐에쿼티파트너스</t>
  </si>
  <si>
    <r>
      <rPr>
        <sz val="10"/>
        <rFont val="DejaVu Sans"/>
        <family val="2"/>
      </rPr>
      <t>전자결제</t>
    </r>
    <r>
      <rPr>
        <sz val="10"/>
        <rFont val="Arial"/>
        <family val="2"/>
      </rPr>
      <t>, HR</t>
    </r>
    <r>
      <rPr>
        <sz val="10"/>
        <rFont val="DejaVu Sans"/>
        <family val="2"/>
      </rPr>
      <t>플랫폼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교육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가전유통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 xml:space="preserve">엘리베이터 </t>
    </r>
    <r>
      <rPr>
        <sz val="10"/>
        <rFont val="Arial"/>
        <family val="2"/>
      </rPr>
      <t xml:space="preserve">| </t>
    </r>
    <r>
      <rPr>
        <sz val="10"/>
        <rFont val="DejaVu Sans"/>
        <family val="2"/>
      </rPr>
      <t>투자기업</t>
    </r>
    <r>
      <rPr>
        <sz val="10"/>
        <rFont val="Arial"/>
        <family val="2"/>
      </rPr>
      <t xml:space="preserve">: </t>
    </r>
    <r>
      <rPr>
        <sz val="10"/>
        <rFont val="DejaVu Sans"/>
        <family val="2"/>
      </rPr>
      <t>케이에스넷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잡코리아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메가스터디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하이마트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현대엘리베이터</t>
    </r>
  </si>
  <si>
    <t>한국자산관리공사</t>
  </si>
  <si>
    <r>
      <rPr>
        <sz val="10"/>
        <rFont val="DejaVu Sans"/>
        <family val="2"/>
      </rPr>
      <t>부실채권</t>
    </r>
    <r>
      <rPr>
        <sz val="10"/>
        <rFont val="Arial"/>
        <family val="2"/>
      </rPr>
      <t xml:space="preserve">(NPL), </t>
    </r>
    <r>
      <rPr>
        <sz val="10"/>
        <rFont val="DejaVu Sans"/>
        <family val="2"/>
      </rPr>
      <t>금융구조조정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인프라</t>
    </r>
  </si>
  <si>
    <t>비엔더블유인베스트먼트</t>
  </si>
  <si>
    <r>
      <rPr>
        <sz val="10"/>
        <rFont val="DejaVu Sans"/>
        <family val="2"/>
      </rPr>
      <t>특수금속</t>
    </r>
    <r>
      <rPr>
        <sz val="10"/>
        <rFont val="Arial"/>
        <family val="2"/>
      </rPr>
      <t>, AI</t>
    </r>
    <r>
      <rPr>
        <sz val="10"/>
        <rFont val="DejaVu Sans"/>
        <family val="2"/>
      </rPr>
      <t>반도체</t>
    </r>
    <r>
      <rPr>
        <sz val="10"/>
        <rFont val="Arial"/>
        <family val="2"/>
      </rPr>
      <t>, 2</t>
    </r>
    <r>
      <rPr>
        <sz val="10"/>
        <rFont val="DejaVu Sans"/>
        <family val="2"/>
      </rPr>
      <t>차전지소재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 xml:space="preserve">리사이클링 </t>
    </r>
    <r>
      <rPr>
        <sz val="10"/>
        <rFont val="Arial"/>
        <family val="2"/>
      </rPr>
      <t xml:space="preserve">| </t>
    </r>
    <r>
      <rPr>
        <sz val="10"/>
        <rFont val="DejaVu Sans"/>
        <family val="2"/>
      </rPr>
      <t>투자기업</t>
    </r>
    <r>
      <rPr>
        <sz val="10"/>
        <rFont val="Arial"/>
        <family val="2"/>
      </rPr>
      <t xml:space="preserve">: </t>
    </r>
    <r>
      <rPr>
        <sz val="10"/>
        <rFont val="DejaVu Sans"/>
        <family val="2"/>
      </rPr>
      <t>동아특수금속</t>
    </r>
    <r>
      <rPr>
        <sz val="10"/>
        <rFont val="Arial"/>
        <family val="2"/>
      </rPr>
      <t xml:space="preserve">, DEEPX, </t>
    </r>
    <r>
      <rPr>
        <sz val="10"/>
        <rFont val="DejaVu Sans"/>
        <family val="2"/>
      </rPr>
      <t>에코프로비엠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성일하이텍</t>
    </r>
  </si>
  <si>
    <t>글랜우드크레딧</t>
  </si>
  <si>
    <r>
      <rPr>
        <sz val="10"/>
        <rFont val="DejaVu Sans"/>
        <family val="2"/>
      </rPr>
      <t>환경기술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반도체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태양광소재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크레딧</t>
    </r>
    <r>
      <rPr>
        <sz val="10"/>
        <rFont val="Arial"/>
        <family val="2"/>
      </rPr>
      <t>/</t>
    </r>
    <r>
      <rPr>
        <sz val="10"/>
        <rFont val="DejaVu Sans"/>
        <family val="2"/>
      </rPr>
      <t xml:space="preserve">메자닌 </t>
    </r>
    <r>
      <rPr>
        <sz val="10"/>
        <rFont val="Arial"/>
        <family val="2"/>
      </rPr>
      <t xml:space="preserve">| </t>
    </r>
    <r>
      <rPr>
        <sz val="10"/>
        <rFont val="DejaVu Sans"/>
        <family val="2"/>
      </rPr>
      <t>투자기업</t>
    </r>
    <r>
      <rPr>
        <sz val="10"/>
        <rFont val="Arial"/>
        <family val="2"/>
      </rPr>
      <t>: SK</t>
    </r>
    <r>
      <rPr>
        <sz val="10"/>
        <rFont val="DejaVu Sans"/>
        <family val="2"/>
      </rPr>
      <t>에코플랜트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한화첨단소재</t>
    </r>
  </si>
  <si>
    <t>큐캐피탈파트너스</t>
  </si>
  <si>
    <r>
      <rPr>
        <sz val="10"/>
        <rFont val="DejaVu Sans"/>
        <family val="2"/>
      </rPr>
      <t>가전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택배</t>
    </r>
    <r>
      <rPr>
        <sz val="10"/>
        <rFont val="Arial"/>
        <family val="2"/>
      </rPr>
      <t>/</t>
    </r>
    <r>
      <rPr>
        <sz val="10"/>
        <rFont val="DejaVu Sans"/>
        <family val="2"/>
      </rPr>
      <t>물류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통신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 xml:space="preserve">제약 </t>
    </r>
    <r>
      <rPr>
        <sz val="10"/>
        <rFont val="Arial"/>
        <family val="2"/>
      </rPr>
      <t xml:space="preserve">| </t>
    </r>
    <r>
      <rPr>
        <sz val="10"/>
        <rFont val="DejaVu Sans"/>
        <family val="2"/>
      </rPr>
      <t>투자기업</t>
    </r>
    <r>
      <rPr>
        <sz val="10"/>
        <rFont val="Arial"/>
        <family val="2"/>
      </rPr>
      <t xml:space="preserve">: </t>
    </r>
    <r>
      <rPr>
        <sz val="10"/>
        <rFont val="DejaVu Sans"/>
        <family val="2"/>
      </rPr>
      <t>동양매직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동부익스프레스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태한광섬유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서울제약</t>
    </r>
  </si>
  <si>
    <t>한국투자프라이빗에쿼티</t>
  </si>
  <si>
    <r>
      <rPr>
        <sz val="10"/>
        <rFont val="DejaVu Sans"/>
        <family val="2"/>
      </rPr>
      <t>멀티섹터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성장투자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바이아웃</t>
    </r>
  </si>
  <si>
    <t>케이비자산운용</t>
  </si>
  <si>
    <r>
      <rPr>
        <sz val="10"/>
        <rFont val="DejaVu Sans"/>
        <family val="2"/>
      </rPr>
      <t>인프라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부동산</t>
    </r>
    <r>
      <rPr>
        <sz val="10"/>
        <rFont val="Arial"/>
        <family val="2"/>
      </rPr>
      <t>, ETF/</t>
    </r>
    <r>
      <rPr>
        <sz val="10"/>
        <rFont val="DejaVu Sans"/>
        <family val="2"/>
      </rPr>
      <t>공모</t>
    </r>
  </si>
  <si>
    <t>이스트브릿지파트너스</t>
  </si>
  <si>
    <r>
      <rPr>
        <sz val="10"/>
        <rFont val="DejaVu Sans"/>
        <family val="2"/>
      </rPr>
      <t>호텔</t>
    </r>
    <r>
      <rPr>
        <sz val="10"/>
        <rFont val="Arial"/>
        <family val="2"/>
      </rPr>
      <t>/</t>
    </r>
    <r>
      <rPr>
        <sz val="10"/>
        <rFont val="DejaVu Sans"/>
        <family val="2"/>
      </rPr>
      <t>부동산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배터리</t>
    </r>
    <r>
      <rPr>
        <sz val="10"/>
        <rFont val="Arial"/>
        <family val="2"/>
      </rPr>
      <t>/</t>
    </r>
    <r>
      <rPr>
        <sz val="10"/>
        <rFont val="DejaVu Sans"/>
        <family val="2"/>
      </rPr>
      <t>에너지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헬스케어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 xml:space="preserve">반도체패키징 </t>
    </r>
    <r>
      <rPr>
        <sz val="10"/>
        <rFont val="Arial"/>
        <family val="2"/>
      </rPr>
      <t xml:space="preserve">| </t>
    </r>
    <r>
      <rPr>
        <sz val="10"/>
        <rFont val="DejaVu Sans"/>
        <family val="2"/>
      </rPr>
      <t>투자기업</t>
    </r>
    <r>
      <rPr>
        <sz val="10"/>
        <rFont val="Arial"/>
        <family val="2"/>
      </rPr>
      <t xml:space="preserve">: </t>
    </r>
    <r>
      <rPr>
        <sz val="10"/>
        <rFont val="DejaVu Sans"/>
        <family val="2"/>
      </rPr>
      <t>로지소프트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오상헬스케어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네패스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크루셜텍</t>
    </r>
  </si>
  <si>
    <t>케이와이프라이빗에쿼티</t>
  </si>
  <si>
    <r>
      <rPr>
        <sz val="10"/>
        <rFont val="Arial"/>
        <family val="2"/>
      </rPr>
      <t>4</t>
    </r>
    <r>
      <rPr>
        <sz val="10"/>
        <rFont val="DejaVu Sans"/>
        <family val="2"/>
      </rPr>
      <t>차산업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농생명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성장투자</t>
    </r>
  </si>
  <si>
    <t>제이씨파트너스</t>
  </si>
  <si>
    <r>
      <rPr>
        <sz val="10"/>
        <rFont val="DejaVu Sans"/>
        <family val="2"/>
      </rPr>
      <t>모빌리티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금융</t>
    </r>
    <r>
      <rPr>
        <sz val="10"/>
        <rFont val="Arial"/>
        <family val="2"/>
      </rPr>
      <t>/</t>
    </r>
    <r>
      <rPr>
        <sz val="10"/>
        <rFont val="DejaVu Sans"/>
        <family val="2"/>
      </rPr>
      <t>보험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항공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 xml:space="preserve">바이아웃 </t>
    </r>
    <r>
      <rPr>
        <sz val="10"/>
        <rFont val="Arial"/>
        <family val="2"/>
      </rPr>
      <t xml:space="preserve">| </t>
    </r>
    <r>
      <rPr>
        <sz val="10"/>
        <rFont val="DejaVu Sans"/>
        <family val="2"/>
      </rPr>
      <t>투자기업</t>
    </r>
    <r>
      <rPr>
        <sz val="10"/>
        <rFont val="Arial"/>
        <family val="2"/>
      </rPr>
      <t xml:space="preserve">: </t>
    </r>
    <r>
      <rPr>
        <sz val="10"/>
        <rFont val="DejaVu Sans"/>
        <family val="2"/>
      </rPr>
      <t>카카오모빌리티</t>
    </r>
    <r>
      <rPr>
        <sz val="10"/>
        <rFont val="Arial"/>
        <family val="2"/>
      </rPr>
      <t>, MG</t>
    </r>
    <r>
      <rPr>
        <sz val="10"/>
        <rFont val="DejaVu Sans"/>
        <family val="2"/>
      </rPr>
      <t>손해보험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에어프리마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황조</t>
    </r>
  </si>
  <si>
    <t>도미누스에쿼티파트너스</t>
  </si>
  <si>
    <t>메자닌투자</t>
  </si>
  <si>
    <t>에스케이에스프라이빗에쿼티</t>
  </si>
  <si>
    <r>
      <rPr>
        <sz val="10"/>
        <rFont val="DejaVu Sans"/>
        <family val="2"/>
      </rPr>
      <t>플랫폼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콘텐츠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보안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제조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 xml:space="preserve">냉동식품 </t>
    </r>
    <r>
      <rPr>
        <sz val="10"/>
        <rFont val="Arial"/>
        <family val="2"/>
      </rPr>
      <t xml:space="preserve">| </t>
    </r>
    <r>
      <rPr>
        <sz val="10"/>
        <rFont val="DejaVu Sans"/>
        <family val="2"/>
      </rPr>
      <t>투자기업</t>
    </r>
    <r>
      <rPr>
        <sz val="10"/>
        <rFont val="Arial"/>
        <family val="2"/>
      </rPr>
      <t xml:space="preserve">: </t>
    </r>
    <r>
      <rPr>
        <sz val="10"/>
        <rFont val="DejaVu Sans"/>
        <family val="2"/>
      </rPr>
      <t>원스토어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콘텐츠웨이브</t>
    </r>
    <r>
      <rPr>
        <sz val="10"/>
        <rFont val="Arial"/>
        <family val="2"/>
      </rPr>
      <t>, ADT</t>
    </r>
    <r>
      <rPr>
        <sz val="10"/>
        <rFont val="DejaVu Sans"/>
        <family val="2"/>
      </rPr>
      <t>캡스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제일기공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강동냉장</t>
    </r>
  </si>
  <si>
    <t>스톤브릿지캐피탈</t>
  </si>
  <si>
    <r>
      <rPr>
        <sz val="10"/>
        <rFont val="DejaVu Sans"/>
        <family val="2"/>
      </rPr>
      <t>게임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미디어</t>
    </r>
    <r>
      <rPr>
        <sz val="10"/>
        <rFont val="Arial"/>
        <family val="2"/>
      </rPr>
      <t>/</t>
    </r>
    <r>
      <rPr>
        <sz val="10"/>
        <rFont val="DejaVu Sans"/>
        <family val="2"/>
      </rPr>
      <t>엔터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소프트웨어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 xml:space="preserve">핀테크 </t>
    </r>
    <r>
      <rPr>
        <sz val="10"/>
        <rFont val="Arial"/>
        <family val="2"/>
      </rPr>
      <t xml:space="preserve">| </t>
    </r>
    <r>
      <rPr>
        <sz val="10"/>
        <rFont val="DejaVu Sans"/>
        <family val="2"/>
      </rPr>
      <t>투자기업</t>
    </r>
    <r>
      <rPr>
        <sz val="10"/>
        <rFont val="Arial"/>
        <family val="2"/>
      </rPr>
      <t xml:space="preserve">: </t>
    </r>
    <r>
      <rPr>
        <sz val="10"/>
        <rFont val="DejaVu Sans"/>
        <family val="2"/>
      </rPr>
      <t>카카오게임즈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롯데컬처웍스</t>
    </r>
  </si>
  <si>
    <t>브이아이지파트너스</t>
  </si>
  <si>
    <r>
      <rPr>
        <sz val="10"/>
        <rFont val="DejaVu Sans"/>
        <family val="2"/>
      </rPr>
      <t>금융서비스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소비재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전자상거래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항공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 xml:space="preserve">상조 </t>
    </r>
    <r>
      <rPr>
        <sz val="10"/>
        <rFont val="Arial"/>
        <family val="2"/>
      </rPr>
      <t xml:space="preserve">| </t>
    </r>
    <r>
      <rPr>
        <sz val="10"/>
        <rFont val="DejaVu Sans"/>
        <family val="2"/>
      </rPr>
      <t>투자기업</t>
    </r>
    <r>
      <rPr>
        <sz val="10"/>
        <rFont val="Arial"/>
        <family val="2"/>
      </rPr>
      <t>: BC</t>
    </r>
    <r>
      <rPr>
        <sz val="10"/>
        <rFont val="DejaVu Sans"/>
        <family val="2"/>
      </rPr>
      <t>카드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보디프렌드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삼양옵틱스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이스타젯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프리드라이프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이뉴리닷컴</t>
    </r>
  </si>
  <si>
    <t>유진프라이빗에쿼티</t>
  </si>
  <si>
    <r>
      <rPr>
        <sz val="10"/>
        <rFont val="DejaVu Sans"/>
        <family val="2"/>
      </rPr>
      <t>카셰어링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전선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 xml:space="preserve">환경서비스 </t>
    </r>
    <r>
      <rPr>
        <sz val="10"/>
        <rFont val="Arial"/>
        <family val="2"/>
      </rPr>
      <t xml:space="preserve">| </t>
    </r>
    <r>
      <rPr>
        <sz val="10"/>
        <rFont val="DejaVu Sans"/>
        <family val="2"/>
      </rPr>
      <t>투자기업</t>
    </r>
    <r>
      <rPr>
        <sz val="10"/>
        <rFont val="Arial"/>
        <family val="2"/>
      </rPr>
      <t xml:space="preserve">: </t>
    </r>
    <r>
      <rPr>
        <sz val="10"/>
        <rFont val="DejaVu Sans"/>
        <family val="2"/>
      </rPr>
      <t>쏘카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서울전선</t>
    </r>
    <r>
      <rPr>
        <sz val="10"/>
        <rFont val="Arial"/>
        <family val="2"/>
      </rPr>
      <t>, KC</t>
    </r>
    <r>
      <rPr>
        <sz val="10"/>
        <rFont val="DejaVu Sans"/>
        <family val="2"/>
      </rPr>
      <t>환경서비스</t>
    </r>
  </si>
  <si>
    <t>제이케이엘크레딧인베스트먼트</t>
  </si>
  <si>
    <r>
      <rPr>
        <sz val="10"/>
        <rFont val="DejaVu Sans"/>
        <family val="2"/>
      </rPr>
      <t>크레딧</t>
    </r>
    <r>
      <rPr>
        <sz val="10"/>
        <rFont val="Arial"/>
        <family val="2"/>
      </rPr>
      <t>/</t>
    </r>
    <r>
      <rPr>
        <sz val="10"/>
        <rFont val="DejaVu Sans"/>
        <family val="2"/>
      </rPr>
      <t>구조조정</t>
    </r>
  </si>
  <si>
    <t>헤임달프라이빗에쿼티</t>
  </si>
  <si>
    <r>
      <rPr>
        <sz val="10"/>
        <rFont val="DejaVu Sans"/>
        <family val="2"/>
      </rPr>
      <t>화학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 xml:space="preserve">지주회사 </t>
    </r>
    <r>
      <rPr>
        <sz val="10"/>
        <rFont val="Arial"/>
        <family val="2"/>
      </rPr>
      <t xml:space="preserve">| </t>
    </r>
    <r>
      <rPr>
        <sz val="10"/>
        <rFont val="DejaVu Sans"/>
        <family val="2"/>
      </rPr>
      <t>투자기업</t>
    </r>
    <r>
      <rPr>
        <sz val="10"/>
        <rFont val="Arial"/>
        <family val="2"/>
      </rPr>
      <t xml:space="preserve">: </t>
    </r>
    <r>
      <rPr>
        <sz val="10"/>
        <rFont val="DejaVu Sans"/>
        <family val="2"/>
      </rPr>
      <t>후성글로벌</t>
    </r>
  </si>
  <si>
    <t>하나대체투자자산운용</t>
  </si>
  <si>
    <r>
      <rPr>
        <sz val="10"/>
        <rFont val="DejaVu Sans"/>
        <family val="2"/>
      </rPr>
      <t>부동산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인프라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에너지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대체투자</t>
    </r>
  </si>
  <si>
    <t>케이디비인베스트먼트</t>
  </si>
  <si>
    <r>
      <rPr>
        <sz val="10"/>
        <rFont val="DejaVu Sans"/>
        <family val="2"/>
      </rPr>
      <t>기술</t>
    </r>
    <r>
      <rPr>
        <sz val="10"/>
        <rFont val="Arial"/>
        <family val="2"/>
      </rPr>
      <t>/</t>
    </r>
    <r>
      <rPr>
        <sz val="10"/>
        <rFont val="DejaVu Sans"/>
        <family val="2"/>
      </rPr>
      <t>스타트업</t>
    </r>
    <r>
      <rPr>
        <sz val="10"/>
        <rFont val="Arial"/>
        <family val="2"/>
      </rPr>
      <t xml:space="preserve">, AI, </t>
    </r>
    <r>
      <rPr>
        <sz val="10"/>
        <rFont val="DejaVu Sans"/>
        <family val="2"/>
      </rPr>
      <t xml:space="preserve">제조 </t>
    </r>
    <r>
      <rPr>
        <sz val="10"/>
        <rFont val="Arial"/>
        <family val="2"/>
      </rPr>
      <t xml:space="preserve">| </t>
    </r>
    <r>
      <rPr>
        <sz val="10"/>
        <rFont val="DejaVu Sans"/>
        <family val="2"/>
      </rPr>
      <t>투자기업</t>
    </r>
    <r>
      <rPr>
        <sz val="10"/>
        <rFont val="Arial"/>
        <family val="2"/>
      </rPr>
      <t xml:space="preserve">: </t>
    </r>
    <r>
      <rPr>
        <sz val="10"/>
        <rFont val="DejaVu Sans"/>
        <family val="2"/>
      </rPr>
      <t>삼쩜삼</t>
    </r>
    <r>
      <rPr>
        <sz val="10"/>
        <rFont val="Arial"/>
        <family val="2"/>
      </rPr>
      <t>(</t>
    </r>
    <r>
      <rPr>
        <sz val="10"/>
        <rFont val="DejaVu Sans"/>
        <family val="2"/>
      </rPr>
      <t>자비스앤빌런즈</t>
    </r>
    <r>
      <rPr>
        <sz val="10"/>
        <rFont val="Arial"/>
        <family val="2"/>
      </rPr>
      <t xml:space="preserve">), </t>
    </r>
    <r>
      <rPr>
        <sz val="10"/>
        <rFont val="DejaVu Sans"/>
        <family val="2"/>
      </rPr>
      <t>리벨리온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에센셜</t>
    </r>
    <r>
      <rPr>
        <sz val="10"/>
        <rFont val="Arial"/>
        <family val="2"/>
      </rPr>
      <t>AI</t>
    </r>
  </si>
  <si>
    <t>에스지프라이빗에쿼티</t>
  </si>
  <si>
    <r>
      <rPr>
        <sz val="10"/>
        <rFont val="DejaVu Sans"/>
        <family val="2"/>
      </rPr>
      <t>제조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화학</t>
    </r>
    <r>
      <rPr>
        <sz val="10"/>
        <rFont val="Arial"/>
        <family val="2"/>
      </rPr>
      <t>/</t>
    </r>
    <r>
      <rPr>
        <sz val="10"/>
        <rFont val="DejaVu Sans"/>
        <family val="2"/>
      </rPr>
      <t xml:space="preserve">가스 </t>
    </r>
    <r>
      <rPr>
        <sz val="10"/>
        <rFont val="Arial"/>
        <family val="2"/>
      </rPr>
      <t xml:space="preserve">| </t>
    </r>
    <r>
      <rPr>
        <sz val="10"/>
        <rFont val="DejaVu Sans"/>
        <family val="2"/>
      </rPr>
      <t>투자기업</t>
    </r>
    <r>
      <rPr>
        <sz val="10"/>
        <rFont val="Arial"/>
        <family val="2"/>
      </rPr>
      <t xml:space="preserve">: </t>
    </r>
    <r>
      <rPr>
        <sz val="10"/>
        <rFont val="DejaVu Sans"/>
        <family val="2"/>
      </rPr>
      <t>이테크시스템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한국특수가스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동성티씨에스</t>
    </r>
  </si>
  <si>
    <t>에이스에쿼티파트너스</t>
  </si>
  <si>
    <r>
      <rPr>
        <sz val="10"/>
        <rFont val="DejaVu Sans"/>
        <family val="2"/>
      </rPr>
      <t>반도체</t>
    </r>
    <r>
      <rPr>
        <sz val="10"/>
        <rFont val="Arial"/>
        <family val="2"/>
      </rPr>
      <t xml:space="preserve">/IT, </t>
    </r>
    <r>
      <rPr>
        <sz val="10"/>
        <rFont val="DejaVu Sans"/>
        <family val="2"/>
      </rPr>
      <t xml:space="preserve">자동차부품 </t>
    </r>
    <r>
      <rPr>
        <sz val="10"/>
        <rFont val="Arial"/>
        <family val="2"/>
      </rPr>
      <t xml:space="preserve">| </t>
    </r>
    <r>
      <rPr>
        <sz val="10"/>
        <rFont val="DejaVu Sans"/>
        <family val="2"/>
      </rPr>
      <t>투자기업</t>
    </r>
    <r>
      <rPr>
        <sz val="10"/>
        <rFont val="Arial"/>
        <family val="2"/>
      </rPr>
      <t xml:space="preserve">: </t>
    </r>
    <r>
      <rPr>
        <sz val="10"/>
        <rFont val="DejaVu Sans"/>
        <family val="2"/>
      </rPr>
      <t>테스나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브이디에스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에임시스템</t>
    </r>
  </si>
  <si>
    <t>에스씨로이코리아</t>
  </si>
  <si>
    <r>
      <rPr>
        <sz val="10"/>
        <rFont val="DejaVu Sans"/>
        <family val="2"/>
      </rPr>
      <t>크로스보더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디스트레스드</t>
    </r>
  </si>
  <si>
    <t>프랙시스캐피탈파트너스</t>
  </si>
  <si>
    <r>
      <rPr>
        <sz val="10"/>
        <rFont val="DejaVu Sans"/>
        <family val="2"/>
      </rPr>
      <t>미디어</t>
    </r>
    <r>
      <rPr>
        <sz val="10"/>
        <rFont val="Arial"/>
        <family val="2"/>
      </rPr>
      <t>/</t>
    </r>
    <r>
      <rPr>
        <sz val="10"/>
        <rFont val="DejaVu Sans"/>
        <family val="2"/>
      </rPr>
      <t>콘텐츠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전자상거래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 xml:space="preserve">엔터테인먼트 </t>
    </r>
    <r>
      <rPr>
        <sz val="10"/>
        <rFont val="Arial"/>
        <family val="2"/>
      </rPr>
      <t xml:space="preserve">| </t>
    </r>
    <r>
      <rPr>
        <sz val="10"/>
        <rFont val="DejaVu Sans"/>
        <family val="2"/>
      </rPr>
      <t>투자기업</t>
    </r>
    <r>
      <rPr>
        <sz val="10"/>
        <rFont val="Arial"/>
        <family val="2"/>
      </rPr>
      <t xml:space="preserve">: </t>
    </r>
    <r>
      <rPr>
        <sz val="10"/>
        <rFont val="DejaVu Sans"/>
        <family val="2"/>
      </rPr>
      <t>리디북스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번개장터</t>
    </r>
  </si>
  <si>
    <t>앰버스톤</t>
  </si>
  <si>
    <r>
      <rPr>
        <sz val="10"/>
        <rFont val="DejaVu Sans"/>
        <family val="2"/>
      </rPr>
      <t>북미중견기업대출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부동산담보대출</t>
    </r>
    <r>
      <rPr>
        <sz val="10"/>
        <rFont val="Arial"/>
        <family val="2"/>
      </rPr>
      <t>, M&amp;A</t>
    </r>
  </si>
  <si>
    <t>에스비브이에이</t>
  </si>
  <si>
    <r>
      <rPr>
        <sz val="10"/>
        <rFont val="Arial"/>
        <family val="2"/>
      </rPr>
      <t>IT/</t>
    </r>
    <r>
      <rPr>
        <sz val="10"/>
        <rFont val="DejaVu Sans"/>
        <family val="2"/>
      </rPr>
      <t>모빌리티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식품</t>
    </r>
    <r>
      <rPr>
        <sz val="10"/>
        <rFont val="Arial"/>
        <family val="2"/>
      </rPr>
      <t>/</t>
    </r>
    <r>
      <rPr>
        <sz val="10"/>
        <rFont val="DejaVu Sans"/>
        <family val="2"/>
      </rPr>
      <t xml:space="preserve">플랫폼 </t>
    </r>
    <r>
      <rPr>
        <sz val="10"/>
        <rFont val="Arial"/>
        <family val="2"/>
      </rPr>
      <t xml:space="preserve">| </t>
    </r>
    <r>
      <rPr>
        <sz val="10"/>
        <rFont val="DejaVu Sans"/>
        <family val="2"/>
      </rPr>
      <t>투자기업</t>
    </r>
    <r>
      <rPr>
        <sz val="10"/>
        <rFont val="Arial"/>
        <family val="2"/>
      </rPr>
      <t xml:space="preserve">: </t>
    </r>
    <r>
      <rPr>
        <sz val="10"/>
        <rFont val="DejaVu Sans"/>
        <family val="2"/>
      </rPr>
      <t>당근마켓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프레시지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쏘카</t>
    </r>
  </si>
  <si>
    <t>이음프라이빗에쿼티</t>
  </si>
  <si>
    <r>
      <rPr>
        <sz val="10"/>
        <rFont val="DejaVu Sans"/>
        <family val="2"/>
      </rPr>
      <t>환경</t>
    </r>
    <r>
      <rPr>
        <sz val="10"/>
        <rFont val="Arial"/>
        <family val="2"/>
      </rPr>
      <t>/</t>
    </r>
    <r>
      <rPr>
        <sz val="10"/>
        <rFont val="DejaVu Sans"/>
        <family val="2"/>
      </rPr>
      <t>폐기물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승강기</t>
    </r>
    <r>
      <rPr>
        <sz val="10"/>
        <rFont val="Arial"/>
        <family val="2"/>
      </rPr>
      <t>, 3</t>
    </r>
    <r>
      <rPr>
        <sz val="10"/>
        <rFont val="DejaVu Sans"/>
        <family val="2"/>
      </rPr>
      <t>자물류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산업용화약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피부미용의료기기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 xml:space="preserve">제약 </t>
    </r>
    <r>
      <rPr>
        <sz val="10"/>
        <rFont val="Arial"/>
        <family val="2"/>
      </rPr>
      <t xml:space="preserve">| </t>
    </r>
    <r>
      <rPr>
        <sz val="10"/>
        <rFont val="DejaVu Sans"/>
        <family val="2"/>
      </rPr>
      <t>투자기업</t>
    </r>
    <r>
      <rPr>
        <sz val="10"/>
        <rFont val="Arial"/>
        <family val="2"/>
      </rPr>
      <t xml:space="preserve">: </t>
    </r>
    <r>
      <rPr>
        <sz val="10"/>
        <rFont val="DejaVu Sans"/>
        <family val="2"/>
      </rPr>
      <t>리클린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현대엘리베이터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태웅로직스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고려노벨화약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비올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이연제약</t>
    </r>
  </si>
  <si>
    <t>웰투시인베스트먼트</t>
  </si>
  <si>
    <r>
      <rPr>
        <sz val="10"/>
        <rFont val="DejaVu Sans"/>
        <family val="2"/>
      </rPr>
      <t>소부장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자본재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 xml:space="preserve">자동차엔진 </t>
    </r>
    <r>
      <rPr>
        <sz val="10"/>
        <rFont val="Arial"/>
        <family val="2"/>
      </rPr>
      <t xml:space="preserve">| </t>
    </r>
    <r>
      <rPr>
        <sz val="10"/>
        <rFont val="DejaVu Sans"/>
        <family val="2"/>
      </rPr>
      <t>투자기업</t>
    </r>
    <r>
      <rPr>
        <sz val="10"/>
        <rFont val="Arial"/>
        <family val="2"/>
      </rPr>
      <t xml:space="preserve">: </t>
    </r>
    <r>
      <rPr>
        <sz val="10"/>
        <rFont val="DejaVu Sans"/>
        <family val="2"/>
      </rPr>
      <t>아주캐피탈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두산엔진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모트롤</t>
    </r>
  </si>
  <si>
    <t>아주아이비투자</t>
  </si>
  <si>
    <r>
      <rPr>
        <sz val="10"/>
        <rFont val="DejaVu Sans"/>
        <family val="2"/>
      </rPr>
      <t>바이오</t>
    </r>
    <r>
      <rPr>
        <sz val="10"/>
        <rFont val="Arial"/>
        <family val="2"/>
      </rPr>
      <t>/</t>
    </r>
    <r>
      <rPr>
        <sz val="10"/>
        <rFont val="DejaVu Sans"/>
        <family val="2"/>
      </rPr>
      <t>신약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 xml:space="preserve">벤처캐피탈 </t>
    </r>
    <r>
      <rPr>
        <sz val="10"/>
        <rFont val="Arial"/>
        <family val="2"/>
      </rPr>
      <t xml:space="preserve">| </t>
    </r>
    <r>
      <rPr>
        <sz val="10"/>
        <rFont val="DejaVu Sans"/>
        <family val="2"/>
      </rPr>
      <t>투자기업</t>
    </r>
    <r>
      <rPr>
        <sz val="10"/>
        <rFont val="Arial"/>
        <family val="2"/>
      </rPr>
      <t xml:space="preserve">: </t>
    </r>
    <r>
      <rPr>
        <sz val="10"/>
        <rFont val="DejaVu Sans"/>
        <family val="2"/>
      </rPr>
      <t>올릭스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지아이이노베이션</t>
    </r>
  </si>
  <si>
    <t>에스티리더스프라이빗에쿼티</t>
  </si>
  <si>
    <r>
      <rPr>
        <sz val="10"/>
        <rFont val="DejaVu Sans"/>
        <family val="2"/>
      </rPr>
      <t>여행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 xml:space="preserve">금융 </t>
    </r>
    <r>
      <rPr>
        <sz val="10"/>
        <rFont val="Arial"/>
        <family val="2"/>
      </rPr>
      <t xml:space="preserve">| </t>
    </r>
    <r>
      <rPr>
        <sz val="10"/>
        <rFont val="DejaVu Sans"/>
        <family val="2"/>
      </rPr>
      <t>투자기업</t>
    </r>
    <r>
      <rPr>
        <sz val="10"/>
        <rFont val="Arial"/>
        <family val="2"/>
      </rPr>
      <t xml:space="preserve">: </t>
    </r>
    <r>
      <rPr>
        <sz val="10"/>
        <rFont val="DejaVu Sans"/>
        <family val="2"/>
      </rPr>
      <t>여행박사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효성캐피탈</t>
    </r>
  </si>
  <si>
    <t>대신프라이빗에쿼티</t>
  </si>
  <si>
    <r>
      <rPr>
        <sz val="10"/>
        <rFont val="DejaVu Sans"/>
        <family val="2"/>
      </rPr>
      <t>위성솔루션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무인항공기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증권계열</t>
    </r>
    <r>
      <rPr>
        <sz val="10"/>
        <rFont val="Arial"/>
        <family val="2"/>
      </rPr>
      <t xml:space="preserve">PE | </t>
    </r>
    <r>
      <rPr>
        <sz val="10"/>
        <rFont val="DejaVu Sans"/>
        <family val="2"/>
      </rPr>
      <t>투자기업</t>
    </r>
    <r>
      <rPr>
        <sz val="10"/>
        <rFont val="Arial"/>
        <family val="2"/>
      </rPr>
      <t xml:space="preserve">: </t>
    </r>
    <r>
      <rPr>
        <sz val="10"/>
        <rFont val="DejaVu Sans"/>
        <family val="2"/>
      </rPr>
      <t>텔레픽스</t>
    </r>
  </si>
  <si>
    <t>신한벤처투자</t>
  </si>
  <si>
    <r>
      <rPr>
        <sz val="10"/>
        <rFont val="Arial"/>
        <family val="2"/>
      </rPr>
      <t xml:space="preserve">IT, </t>
    </r>
    <r>
      <rPr>
        <sz val="10"/>
        <rFont val="DejaVu Sans"/>
        <family val="2"/>
      </rPr>
      <t>바이오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스타트업</t>
    </r>
  </si>
  <si>
    <t>에스브이인베스트먼트</t>
  </si>
  <si>
    <r>
      <rPr>
        <sz val="10"/>
        <rFont val="Arial"/>
        <family val="2"/>
      </rPr>
      <t xml:space="preserve">AI, ICT, </t>
    </r>
    <r>
      <rPr>
        <sz val="10"/>
        <rFont val="DejaVu Sans"/>
        <family val="2"/>
      </rPr>
      <t xml:space="preserve">모바일 </t>
    </r>
    <r>
      <rPr>
        <sz val="10"/>
        <rFont val="Arial"/>
        <family val="2"/>
      </rPr>
      <t xml:space="preserve">| </t>
    </r>
    <r>
      <rPr>
        <sz val="10"/>
        <rFont val="DejaVu Sans"/>
        <family val="2"/>
      </rPr>
      <t>투자기업</t>
    </r>
    <r>
      <rPr>
        <sz val="10"/>
        <rFont val="Arial"/>
        <family val="2"/>
      </rPr>
      <t xml:space="preserve">: APR, </t>
    </r>
    <r>
      <rPr>
        <sz val="10"/>
        <rFont val="DejaVu Sans"/>
        <family val="2"/>
      </rPr>
      <t>넥스트칩</t>
    </r>
  </si>
  <si>
    <t>제이앤프라이빗에쿼티</t>
  </si>
  <si>
    <r>
      <rPr>
        <sz val="10"/>
        <rFont val="DejaVu Sans"/>
        <family val="2"/>
      </rPr>
      <t>조선해양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운수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의료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 xml:space="preserve">기술용역 </t>
    </r>
    <r>
      <rPr>
        <sz val="10"/>
        <rFont val="Arial"/>
        <family val="2"/>
      </rPr>
      <t xml:space="preserve">| </t>
    </r>
    <r>
      <rPr>
        <sz val="10"/>
        <rFont val="DejaVu Sans"/>
        <family val="2"/>
      </rPr>
      <t>투자기업</t>
    </r>
    <r>
      <rPr>
        <sz val="10"/>
        <rFont val="Arial"/>
        <family val="2"/>
      </rPr>
      <t xml:space="preserve">: </t>
    </r>
    <r>
      <rPr>
        <sz val="10"/>
        <rFont val="DejaVu Sans"/>
        <family val="2"/>
      </rPr>
      <t>현대힘스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금남고속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중부고속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케어랩스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크레템</t>
    </r>
  </si>
  <si>
    <t>유안타인베스트먼트</t>
  </si>
  <si>
    <r>
      <rPr>
        <sz val="10"/>
        <rFont val="DejaVu Sans"/>
        <family val="2"/>
      </rPr>
      <t>바이오</t>
    </r>
    <r>
      <rPr>
        <sz val="10"/>
        <rFont val="Arial"/>
        <family val="2"/>
      </rPr>
      <t>/</t>
    </r>
    <r>
      <rPr>
        <sz val="10"/>
        <rFont val="DejaVu Sans"/>
        <family val="2"/>
      </rPr>
      <t xml:space="preserve">기술 </t>
    </r>
    <r>
      <rPr>
        <sz val="10"/>
        <rFont val="Arial"/>
        <family val="2"/>
      </rPr>
      <t xml:space="preserve">| </t>
    </r>
    <r>
      <rPr>
        <sz val="10"/>
        <rFont val="DejaVu Sans"/>
        <family val="2"/>
      </rPr>
      <t>투자기업</t>
    </r>
    <r>
      <rPr>
        <sz val="10"/>
        <rFont val="Arial"/>
        <family val="2"/>
      </rPr>
      <t xml:space="preserve">: </t>
    </r>
    <r>
      <rPr>
        <sz val="10"/>
        <rFont val="DejaVu Sans"/>
        <family val="2"/>
      </rPr>
      <t>알지노믹스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인벤테라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큐어버스</t>
    </r>
  </si>
  <si>
    <t>엔에이치투자증권</t>
  </si>
  <si>
    <r>
      <rPr>
        <sz val="10"/>
        <rFont val="DejaVu Sans"/>
        <family val="2"/>
      </rPr>
      <t>증권계열</t>
    </r>
    <r>
      <rPr>
        <sz val="10"/>
        <rFont val="Arial"/>
        <family val="2"/>
      </rPr>
      <t xml:space="preserve">PE, </t>
    </r>
    <r>
      <rPr>
        <sz val="10"/>
        <rFont val="DejaVu Sans"/>
        <family val="2"/>
      </rPr>
      <t>다양한산업</t>
    </r>
  </si>
  <si>
    <t>코스톤아시아</t>
  </si>
  <si>
    <r>
      <rPr>
        <sz val="10"/>
        <rFont val="DejaVu Sans"/>
        <family val="2"/>
      </rPr>
      <t>제조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외식</t>
    </r>
    <r>
      <rPr>
        <sz val="10"/>
        <rFont val="Arial"/>
        <family val="2"/>
      </rPr>
      <t>/</t>
    </r>
    <r>
      <rPr>
        <sz val="10"/>
        <rFont val="DejaVu Sans"/>
        <family val="2"/>
      </rPr>
      <t>프랜차이즈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화장품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기술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 xml:space="preserve">보험 </t>
    </r>
    <r>
      <rPr>
        <sz val="10"/>
        <rFont val="Arial"/>
        <family val="2"/>
      </rPr>
      <t xml:space="preserve">| </t>
    </r>
    <r>
      <rPr>
        <sz val="10"/>
        <rFont val="DejaVu Sans"/>
        <family val="2"/>
      </rPr>
      <t>투자기업</t>
    </r>
    <r>
      <rPr>
        <sz val="10"/>
        <rFont val="Arial"/>
        <family val="2"/>
      </rPr>
      <t xml:space="preserve">: </t>
    </r>
    <r>
      <rPr>
        <sz val="10"/>
        <rFont val="DejaVu Sans"/>
        <family val="2"/>
      </rPr>
      <t>리클린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디비아이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큐텐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노랑통닭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피플라이프</t>
    </r>
    <r>
      <rPr>
        <sz val="10"/>
        <rFont val="Arial"/>
        <family val="2"/>
      </rPr>
      <t>, HB</t>
    </r>
    <r>
      <rPr>
        <sz val="10"/>
        <rFont val="DejaVu Sans"/>
        <family val="2"/>
      </rPr>
      <t xml:space="preserve">솔루션 외 </t>
    </r>
    <r>
      <rPr>
        <sz val="10"/>
        <rFont val="Arial"/>
        <family val="2"/>
      </rPr>
      <t>2</t>
    </r>
    <r>
      <rPr>
        <sz val="10"/>
        <rFont val="DejaVu Sans"/>
        <family val="2"/>
      </rPr>
      <t>개</t>
    </r>
  </si>
  <si>
    <t>캑터스프라이빗에쿼티</t>
  </si>
  <si>
    <r>
      <rPr>
        <sz val="10"/>
        <rFont val="DejaVu Sans"/>
        <family val="2"/>
      </rPr>
      <t>전자상거래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철강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자산평가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물류</t>
    </r>
    <r>
      <rPr>
        <sz val="10"/>
        <rFont val="Arial"/>
        <family val="2"/>
      </rPr>
      <t xml:space="preserve">, IT | </t>
    </r>
    <r>
      <rPr>
        <sz val="10"/>
        <rFont val="DejaVu Sans"/>
        <family val="2"/>
      </rPr>
      <t>투자기업</t>
    </r>
    <r>
      <rPr>
        <sz val="10"/>
        <rFont val="Arial"/>
        <family val="2"/>
      </rPr>
      <t xml:space="preserve">: </t>
    </r>
    <r>
      <rPr>
        <sz val="10"/>
        <rFont val="DejaVu Sans"/>
        <family val="2"/>
      </rPr>
      <t>필웨이</t>
    </r>
    <r>
      <rPr>
        <sz val="10"/>
        <rFont val="Arial"/>
        <family val="2"/>
      </rPr>
      <t>, KG</t>
    </r>
    <r>
      <rPr>
        <sz val="10"/>
        <rFont val="DejaVu Sans"/>
        <family val="2"/>
      </rPr>
      <t>스틸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한국자산평가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큐익스프레스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티맥스그룹</t>
    </r>
  </si>
  <si>
    <t>원익투자파트너스</t>
  </si>
  <si>
    <r>
      <rPr>
        <sz val="10"/>
        <rFont val="DejaVu Sans"/>
        <family val="2"/>
      </rPr>
      <t>정보통신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부품소재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미디어콘텐츠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신재생에너지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생명과학</t>
    </r>
  </si>
  <si>
    <t>알케미스트캐피탈파트너스코리아</t>
  </si>
  <si>
    <r>
      <rPr>
        <sz val="10"/>
        <rFont val="DejaVu Sans"/>
        <family val="2"/>
      </rPr>
      <t>반도체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 xml:space="preserve">크로스보더 </t>
    </r>
    <r>
      <rPr>
        <sz val="10"/>
        <rFont val="Arial"/>
        <family val="2"/>
      </rPr>
      <t xml:space="preserve">| </t>
    </r>
    <r>
      <rPr>
        <sz val="10"/>
        <rFont val="DejaVu Sans"/>
        <family val="2"/>
      </rPr>
      <t>투자기업</t>
    </r>
    <r>
      <rPr>
        <sz val="10"/>
        <rFont val="Arial"/>
        <family val="2"/>
      </rPr>
      <t xml:space="preserve">: </t>
    </r>
    <r>
      <rPr>
        <sz val="10"/>
        <rFont val="DejaVu Sans"/>
        <family val="2"/>
      </rPr>
      <t>팬아시아반도체소재</t>
    </r>
  </si>
  <si>
    <t>에이치프라이빗에쿼티</t>
  </si>
  <si>
    <r>
      <rPr>
        <sz val="10"/>
        <rFont val="DejaVu Sans"/>
        <family val="2"/>
      </rPr>
      <t>임플란트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커뮤니티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뷰티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 xml:space="preserve">물류 </t>
    </r>
    <r>
      <rPr>
        <sz val="10"/>
        <rFont val="Arial"/>
        <family val="2"/>
      </rPr>
      <t xml:space="preserve">| </t>
    </r>
    <r>
      <rPr>
        <sz val="10"/>
        <rFont val="DejaVu Sans"/>
        <family val="2"/>
      </rPr>
      <t>투자기업</t>
    </r>
    <r>
      <rPr>
        <sz val="10"/>
        <rFont val="Arial"/>
        <family val="2"/>
      </rPr>
      <t xml:space="preserve">: </t>
    </r>
    <r>
      <rPr>
        <sz val="10"/>
        <rFont val="DejaVu Sans"/>
        <family val="2"/>
      </rPr>
      <t>디오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디시인사이드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글루가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롯데글로벌로지스</t>
    </r>
  </si>
  <si>
    <t>하나증권</t>
  </si>
  <si>
    <t>삼천리자산운용</t>
  </si>
  <si>
    <r>
      <rPr>
        <sz val="10"/>
        <rFont val="DejaVu Sans"/>
        <family val="2"/>
      </rPr>
      <t>신재생에너지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 xml:space="preserve">인프라 </t>
    </r>
    <r>
      <rPr>
        <sz val="10"/>
        <rFont val="Arial"/>
        <family val="2"/>
      </rPr>
      <t xml:space="preserve">| </t>
    </r>
    <r>
      <rPr>
        <sz val="10"/>
        <rFont val="DejaVu Sans"/>
        <family val="2"/>
      </rPr>
      <t>투자기업</t>
    </r>
    <r>
      <rPr>
        <sz val="10"/>
        <rFont val="Arial"/>
        <family val="2"/>
      </rPr>
      <t xml:space="preserve">: </t>
    </r>
    <r>
      <rPr>
        <sz val="10"/>
        <rFont val="DejaVu Sans"/>
        <family val="2"/>
      </rPr>
      <t>유니슨</t>
    </r>
  </si>
  <si>
    <t>파라투스인베스트먼트</t>
  </si>
  <si>
    <r>
      <rPr>
        <sz val="10"/>
        <rFont val="DejaVu Sans"/>
        <family val="2"/>
      </rPr>
      <t>바이오테크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자동차부품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 xml:space="preserve">엔지니어링 </t>
    </r>
    <r>
      <rPr>
        <sz val="10"/>
        <rFont val="Arial"/>
        <family val="2"/>
      </rPr>
      <t xml:space="preserve">| </t>
    </r>
    <r>
      <rPr>
        <sz val="10"/>
        <rFont val="DejaVu Sans"/>
        <family val="2"/>
      </rPr>
      <t>투자기업</t>
    </r>
    <r>
      <rPr>
        <sz val="10"/>
        <rFont val="Arial"/>
        <family val="2"/>
      </rPr>
      <t xml:space="preserve">: </t>
    </r>
    <r>
      <rPr>
        <sz val="10"/>
        <rFont val="DejaVu Sans"/>
        <family val="2"/>
      </rPr>
      <t>마이크로바이오틱스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한양소재</t>
    </r>
  </si>
  <si>
    <t>다올프라이빗에쿼티</t>
  </si>
  <si>
    <r>
      <rPr>
        <sz val="10"/>
        <rFont val="DejaVu Sans"/>
        <family val="2"/>
      </rPr>
      <t>화장품패키징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 xml:space="preserve">강구 </t>
    </r>
    <r>
      <rPr>
        <sz val="10"/>
        <rFont val="Arial"/>
        <family val="2"/>
      </rPr>
      <t xml:space="preserve">| </t>
    </r>
    <r>
      <rPr>
        <sz val="10"/>
        <rFont val="DejaVu Sans"/>
        <family val="2"/>
      </rPr>
      <t>투자기업</t>
    </r>
    <r>
      <rPr>
        <sz val="10"/>
        <rFont val="Arial"/>
        <family val="2"/>
      </rPr>
      <t xml:space="preserve">: </t>
    </r>
    <r>
      <rPr>
        <sz val="10"/>
        <rFont val="DejaVu Sans"/>
        <family val="2"/>
      </rPr>
      <t>영일유리공업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박원</t>
    </r>
  </si>
  <si>
    <t>이엠피벨스타</t>
  </si>
  <si>
    <r>
      <rPr>
        <sz val="10"/>
        <rFont val="DejaVu Sans"/>
        <family val="2"/>
      </rPr>
      <t>콜드체인물류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연료전지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 xml:space="preserve">초저온물류 </t>
    </r>
    <r>
      <rPr>
        <sz val="10"/>
        <rFont val="Arial"/>
        <family val="2"/>
      </rPr>
      <t xml:space="preserve">| </t>
    </r>
    <r>
      <rPr>
        <sz val="10"/>
        <rFont val="DejaVu Sans"/>
        <family val="2"/>
      </rPr>
      <t>투자기업</t>
    </r>
    <r>
      <rPr>
        <sz val="10"/>
        <rFont val="Arial"/>
        <family val="2"/>
      </rPr>
      <t xml:space="preserve">: </t>
    </r>
    <r>
      <rPr>
        <sz val="10"/>
        <rFont val="DejaVu Sans"/>
        <family val="2"/>
      </rPr>
      <t>한국초저온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오성연료전지</t>
    </r>
  </si>
  <si>
    <t>아이엠엠자산운용</t>
  </si>
  <si>
    <r>
      <rPr>
        <sz val="10"/>
        <rFont val="DejaVu Sans"/>
        <family val="2"/>
      </rPr>
      <t>다중자산투자</t>
    </r>
    <r>
      <rPr>
        <sz val="10"/>
        <rFont val="Arial"/>
        <family val="2"/>
      </rPr>
      <t>, IMM</t>
    </r>
    <r>
      <rPr>
        <sz val="10"/>
        <rFont val="DejaVu Sans"/>
        <family val="2"/>
      </rPr>
      <t>계열</t>
    </r>
  </si>
  <si>
    <t>한국투자파트너스</t>
  </si>
  <si>
    <r>
      <rPr>
        <sz val="10"/>
        <rFont val="Arial"/>
        <family val="2"/>
      </rPr>
      <t>IT/</t>
    </r>
    <r>
      <rPr>
        <sz val="10"/>
        <rFont val="DejaVu Sans"/>
        <family val="2"/>
      </rPr>
      <t>콘텐츠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의료</t>
    </r>
    <r>
      <rPr>
        <sz val="10"/>
        <rFont val="Arial"/>
        <family val="2"/>
      </rPr>
      <t>/</t>
    </r>
    <r>
      <rPr>
        <sz val="10"/>
        <rFont val="DejaVu Sans"/>
        <family val="2"/>
      </rPr>
      <t>바이오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 xml:space="preserve">엔터테인먼트 </t>
    </r>
    <r>
      <rPr>
        <sz val="10"/>
        <rFont val="Arial"/>
        <family val="2"/>
      </rPr>
      <t xml:space="preserve">| </t>
    </r>
    <r>
      <rPr>
        <sz val="10"/>
        <rFont val="DejaVu Sans"/>
        <family val="2"/>
      </rPr>
      <t>투자기업</t>
    </r>
    <r>
      <rPr>
        <sz val="10"/>
        <rFont val="Arial"/>
        <family val="2"/>
      </rPr>
      <t xml:space="preserve">: </t>
    </r>
    <r>
      <rPr>
        <sz val="10"/>
        <rFont val="DejaVu Sans"/>
        <family val="2"/>
      </rPr>
      <t>카카오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오스템임플란트</t>
    </r>
    <r>
      <rPr>
        <sz val="10"/>
        <rFont val="Arial"/>
        <family val="2"/>
      </rPr>
      <t>, YG</t>
    </r>
    <r>
      <rPr>
        <sz val="10"/>
        <rFont val="DejaVu Sans"/>
        <family val="2"/>
      </rPr>
      <t>엔터테인먼트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까페</t>
    </r>
    <r>
      <rPr>
        <sz val="10"/>
        <rFont val="Arial"/>
        <family val="2"/>
      </rPr>
      <t xml:space="preserve">24, </t>
    </r>
    <r>
      <rPr>
        <sz val="10"/>
        <rFont val="DejaVu Sans"/>
        <family val="2"/>
      </rPr>
      <t>에이블씨엔씨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 xml:space="preserve">바디프랜드 외 </t>
    </r>
    <r>
      <rPr>
        <sz val="10"/>
        <rFont val="Arial"/>
        <family val="2"/>
      </rPr>
      <t>1</t>
    </r>
    <r>
      <rPr>
        <sz val="10"/>
        <rFont val="DejaVu Sans"/>
        <family val="2"/>
      </rPr>
      <t>개</t>
    </r>
  </si>
  <si>
    <t>에스비케이파트너스</t>
  </si>
  <si>
    <r>
      <rPr>
        <sz val="10"/>
        <rFont val="DejaVu Sans"/>
        <family val="2"/>
      </rPr>
      <t>라이프스타일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전자상거래</t>
    </r>
    <r>
      <rPr>
        <sz val="10"/>
        <rFont val="Arial"/>
        <family val="2"/>
      </rPr>
      <t xml:space="preserve">, SaaS, </t>
    </r>
    <r>
      <rPr>
        <sz val="10"/>
        <rFont val="DejaVu Sans"/>
        <family val="2"/>
      </rPr>
      <t xml:space="preserve">플랫폼 </t>
    </r>
    <r>
      <rPr>
        <sz val="10"/>
        <rFont val="Arial"/>
        <family val="2"/>
      </rPr>
      <t xml:space="preserve">| </t>
    </r>
    <r>
      <rPr>
        <sz val="10"/>
        <rFont val="DejaVu Sans"/>
        <family val="2"/>
      </rPr>
      <t>투자기업</t>
    </r>
    <r>
      <rPr>
        <sz val="10"/>
        <rFont val="Arial"/>
        <family val="2"/>
      </rPr>
      <t xml:space="preserve">: </t>
    </r>
    <r>
      <rPr>
        <sz val="10"/>
        <rFont val="DejaVu Sans"/>
        <family val="2"/>
      </rPr>
      <t>더맘마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밸런스히어로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쉐어트리츠</t>
    </r>
  </si>
  <si>
    <t>칼리스타캐피탈</t>
  </si>
  <si>
    <r>
      <rPr>
        <sz val="10"/>
        <rFont val="DejaVu Sans"/>
        <family val="2"/>
      </rPr>
      <t>에너지플랫폼</t>
    </r>
    <r>
      <rPr>
        <sz val="10"/>
        <rFont val="Arial"/>
        <family val="2"/>
      </rPr>
      <t>, LNG</t>
    </r>
    <r>
      <rPr>
        <sz val="10"/>
        <rFont val="DejaVu Sans"/>
        <family val="2"/>
      </rPr>
      <t>발전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 xml:space="preserve">버스운송 </t>
    </r>
    <r>
      <rPr>
        <sz val="10"/>
        <rFont val="Arial"/>
        <family val="2"/>
      </rPr>
      <t xml:space="preserve">| </t>
    </r>
    <r>
      <rPr>
        <sz val="10"/>
        <rFont val="DejaVu Sans"/>
        <family val="2"/>
      </rPr>
      <t>투자기업</t>
    </r>
    <r>
      <rPr>
        <sz val="10"/>
        <rFont val="Arial"/>
        <family val="2"/>
      </rPr>
      <t xml:space="preserve">: </t>
    </r>
    <r>
      <rPr>
        <sz val="10"/>
        <rFont val="DejaVu Sans"/>
        <family val="2"/>
      </rPr>
      <t>한국플랜트서비스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평택에너지서비스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선진운수</t>
    </r>
  </si>
  <si>
    <t>케이씨지아이</t>
  </si>
  <si>
    <r>
      <rPr>
        <sz val="10"/>
        <rFont val="DejaVu Sans"/>
        <family val="2"/>
      </rPr>
      <t>가상자산거래소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운수</t>
    </r>
    <r>
      <rPr>
        <sz val="10"/>
        <rFont val="Arial"/>
        <family val="2"/>
      </rPr>
      <t>/</t>
    </r>
    <r>
      <rPr>
        <sz val="10"/>
        <rFont val="DejaVu Sans"/>
        <family val="2"/>
      </rPr>
      <t>물류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증권</t>
    </r>
    <r>
      <rPr>
        <sz val="10"/>
        <rFont val="Arial"/>
        <family val="2"/>
      </rPr>
      <t>, 2</t>
    </r>
    <r>
      <rPr>
        <sz val="10"/>
        <rFont val="DejaVu Sans"/>
        <family val="2"/>
      </rPr>
      <t xml:space="preserve">차전지 </t>
    </r>
    <r>
      <rPr>
        <sz val="10"/>
        <rFont val="Arial"/>
        <family val="2"/>
      </rPr>
      <t xml:space="preserve">| </t>
    </r>
    <r>
      <rPr>
        <sz val="10"/>
        <rFont val="DejaVu Sans"/>
        <family val="2"/>
      </rPr>
      <t>투자기업</t>
    </r>
    <r>
      <rPr>
        <sz val="10"/>
        <rFont val="Arial"/>
        <family val="2"/>
      </rPr>
      <t xml:space="preserve">: </t>
    </r>
    <r>
      <rPr>
        <sz val="10"/>
        <rFont val="DejaVu Sans"/>
        <family val="2"/>
      </rPr>
      <t>두나무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한진칼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한양증권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이노와이어리스</t>
    </r>
  </si>
  <si>
    <t>우리프라이빗에퀴티자산운용</t>
  </si>
  <si>
    <r>
      <rPr>
        <sz val="10"/>
        <rFont val="DejaVu Sans"/>
        <family val="2"/>
      </rPr>
      <t>플랫폼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콘텐츠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소비재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유통</t>
    </r>
  </si>
  <si>
    <t>케이엘앤파트너스</t>
  </si>
  <si>
    <r>
      <rPr>
        <sz val="10"/>
        <rFont val="DejaVu Sans"/>
        <family val="2"/>
      </rPr>
      <t>화장품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식음료</t>
    </r>
    <r>
      <rPr>
        <sz val="10"/>
        <rFont val="Arial"/>
        <family val="2"/>
      </rPr>
      <t>/</t>
    </r>
    <r>
      <rPr>
        <sz val="10"/>
        <rFont val="DejaVu Sans"/>
        <family val="2"/>
      </rPr>
      <t xml:space="preserve">프랜차이즈 </t>
    </r>
    <r>
      <rPr>
        <sz val="10"/>
        <rFont val="Arial"/>
        <family val="2"/>
      </rPr>
      <t xml:space="preserve">| </t>
    </r>
    <r>
      <rPr>
        <sz val="10"/>
        <rFont val="DejaVu Sans"/>
        <family val="2"/>
      </rPr>
      <t>투자기업</t>
    </r>
    <r>
      <rPr>
        <sz val="10"/>
        <rFont val="Arial"/>
        <family val="2"/>
      </rPr>
      <t xml:space="preserve">: </t>
    </r>
    <r>
      <rPr>
        <sz val="10"/>
        <rFont val="DejaVu Sans"/>
        <family val="2"/>
      </rPr>
      <t>마녀공장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맘스터치</t>
    </r>
  </si>
  <si>
    <t>제네시스프라이빗에쿼티</t>
  </si>
  <si>
    <r>
      <rPr>
        <sz val="10"/>
        <rFont val="DejaVu Sans"/>
        <family val="2"/>
      </rPr>
      <t>환경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배터리재활용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 xml:space="preserve">승강기 </t>
    </r>
    <r>
      <rPr>
        <sz val="10"/>
        <rFont val="Arial"/>
        <family val="2"/>
      </rPr>
      <t xml:space="preserve">| </t>
    </r>
    <r>
      <rPr>
        <sz val="10"/>
        <rFont val="DejaVu Sans"/>
        <family val="2"/>
      </rPr>
      <t>투자기업</t>
    </r>
    <r>
      <rPr>
        <sz val="10"/>
        <rFont val="Arial"/>
        <family val="2"/>
      </rPr>
      <t xml:space="preserve">: </t>
    </r>
    <r>
      <rPr>
        <sz val="10"/>
        <rFont val="DejaVu Sans"/>
        <family val="2"/>
      </rPr>
      <t>케이제이환경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에너지머티리얼즈</t>
    </r>
    <r>
      <rPr>
        <sz val="10"/>
        <rFont val="Arial"/>
        <family val="2"/>
      </rPr>
      <t>, GS</t>
    </r>
    <r>
      <rPr>
        <sz val="10"/>
        <rFont val="DejaVu Sans"/>
        <family val="2"/>
      </rPr>
      <t>엘리베이터</t>
    </r>
  </si>
  <si>
    <t>포어러너캐피탈파트너스</t>
  </si>
  <si>
    <r>
      <rPr>
        <sz val="10"/>
        <rFont val="DejaVu Sans"/>
        <family val="2"/>
      </rPr>
      <t>금융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라이프스타일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기술</t>
    </r>
  </si>
  <si>
    <t>에코프라임피이</t>
  </si>
  <si>
    <r>
      <rPr>
        <sz val="10"/>
        <rFont val="DejaVu Sans"/>
        <family val="2"/>
      </rPr>
      <t>건설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환경</t>
    </r>
    <r>
      <rPr>
        <sz val="10"/>
        <rFont val="Arial"/>
        <family val="2"/>
      </rPr>
      <t>/</t>
    </r>
    <r>
      <rPr>
        <sz val="10"/>
        <rFont val="DejaVu Sans"/>
        <family val="2"/>
      </rPr>
      <t xml:space="preserve">에너지 </t>
    </r>
    <r>
      <rPr>
        <sz val="10"/>
        <rFont val="Arial"/>
        <family val="2"/>
      </rPr>
      <t xml:space="preserve">| </t>
    </r>
    <r>
      <rPr>
        <sz val="10"/>
        <rFont val="DejaVu Sans"/>
        <family val="2"/>
      </rPr>
      <t>투자기업</t>
    </r>
    <r>
      <rPr>
        <sz val="10"/>
        <rFont val="Arial"/>
        <family val="2"/>
      </rPr>
      <t xml:space="preserve">: </t>
    </r>
    <r>
      <rPr>
        <sz val="10"/>
        <rFont val="DejaVu Sans"/>
        <family val="2"/>
      </rPr>
      <t>동부건설</t>
    </r>
  </si>
  <si>
    <t>엑셀시아캐피탈코리아</t>
  </si>
  <si>
    <r>
      <rPr>
        <sz val="10"/>
        <rFont val="DejaVu Sans"/>
        <family val="2"/>
      </rPr>
      <t>바이오</t>
    </r>
    <r>
      <rPr>
        <sz val="10"/>
        <rFont val="Arial"/>
        <family val="2"/>
      </rPr>
      <t>/</t>
    </r>
    <r>
      <rPr>
        <sz val="10"/>
        <rFont val="DejaVu Sans"/>
        <family val="2"/>
      </rPr>
      <t xml:space="preserve">의약 </t>
    </r>
    <r>
      <rPr>
        <sz val="10"/>
        <rFont val="Arial"/>
        <family val="2"/>
      </rPr>
      <t xml:space="preserve">| </t>
    </r>
    <r>
      <rPr>
        <sz val="10"/>
        <rFont val="DejaVu Sans"/>
        <family val="2"/>
      </rPr>
      <t>투자기업</t>
    </r>
    <r>
      <rPr>
        <sz val="10"/>
        <rFont val="Arial"/>
        <family val="2"/>
      </rPr>
      <t xml:space="preserve">: </t>
    </r>
    <r>
      <rPr>
        <sz val="10"/>
        <rFont val="DejaVu Sans"/>
        <family val="2"/>
      </rPr>
      <t>싸이토젠</t>
    </r>
  </si>
  <si>
    <t>라데팡스파트너스</t>
  </si>
  <si>
    <r>
      <rPr>
        <sz val="10"/>
        <rFont val="DejaVu Sans"/>
        <family val="2"/>
      </rPr>
      <t xml:space="preserve">제약 </t>
    </r>
    <r>
      <rPr>
        <sz val="10"/>
        <rFont val="Arial"/>
        <family val="2"/>
      </rPr>
      <t xml:space="preserve">| </t>
    </r>
    <r>
      <rPr>
        <sz val="10"/>
        <rFont val="DejaVu Sans"/>
        <family val="2"/>
      </rPr>
      <t>투자기업</t>
    </r>
    <r>
      <rPr>
        <sz val="10"/>
        <rFont val="Arial"/>
        <family val="2"/>
      </rPr>
      <t xml:space="preserve">: </t>
    </r>
    <r>
      <rPr>
        <sz val="10"/>
        <rFont val="DejaVu Sans"/>
        <family val="2"/>
      </rPr>
      <t>한미사이언스</t>
    </r>
  </si>
  <si>
    <t>시에라인베스트먼트</t>
  </si>
  <si>
    <r>
      <rPr>
        <sz val="10"/>
        <rFont val="DejaVu Sans"/>
        <family val="2"/>
      </rPr>
      <t>금융</t>
    </r>
    <r>
      <rPr>
        <sz val="10"/>
        <rFont val="Arial"/>
        <family val="2"/>
      </rPr>
      <t>/</t>
    </r>
    <r>
      <rPr>
        <sz val="10"/>
        <rFont val="DejaVu Sans"/>
        <family val="2"/>
      </rPr>
      <t xml:space="preserve">렌탈 </t>
    </r>
    <r>
      <rPr>
        <sz val="10"/>
        <rFont val="Arial"/>
        <family val="2"/>
      </rPr>
      <t xml:space="preserve">| </t>
    </r>
    <r>
      <rPr>
        <sz val="10"/>
        <rFont val="DejaVu Sans"/>
        <family val="2"/>
      </rPr>
      <t>투자기업</t>
    </r>
    <r>
      <rPr>
        <sz val="10"/>
        <rFont val="Arial"/>
        <family val="2"/>
      </rPr>
      <t xml:space="preserve">: </t>
    </r>
    <r>
      <rPr>
        <sz val="10"/>
        <rFont val="DejaVu Sans"/>
        <family val="2"/>
      </rPr>
      <t>현대렌탈케어</t>
    </r>
  </si>
  <si>
    <t>미래에셋증권</t>
  </si>
  <si>
    <t>메이븐그로쓰파트너스</t>
  </si>
  <si>
    <r>
      <rPr>
        <sz val="10"/>
        <rFont val="DejaVu Sans"/>
        <family val="2"/>
      </rPr>
      <t xml:space="preserve">온라인교육 </t>
    </r>
    <r>
      <rPr>
        <sz val="10"/>
        <rFont val="Arial"/>
        <family val="2"/>
      </rPr>
      <t xml:space="preserve">| </t>
    </r>
    <r>
      <rPr>
        <sz val="10"/>
        <rFont val="DejaVu Sans"/>
        <family val="2"/>
      </rPr>
      <t>투자기업</t>
    </r>
    <r>
      <rPr>
        <sz val="10"/>
        <rFont val="Arial"/>
        <family val="2"/>
      </rPr>
      <t xml:space="preserve">: </t>
    </r>
    <r>
      <rPr>
        <sz val="10"/>
        <rFont val="DejaVu Sans"/>
        <family val="2"/>
      </rPr>
      <t>클래스</t>
    </r>
    <r>
      <rPr>
        <sz val="10"/>
        <rFont val="Arial"/>
        <family val="2"/>
      </rPr>
      <t>101</t>
    </r>
  </si>
  <si>
    <t>스텔라인베스트먼트</t>
  </si>
  <si>
    <r>
      <rPr>
        <sz val="10"/>
        <rFont val="DejaVu Sans"/>
        <family val="2"/>
      </rPr>
      <t>전기자동차배터리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 xml:space="preserve">에너지저장시스템 </t>
    </r>
    <r>
      <rPr>
        <sz val="10"/>
        <rFont val="Arial"/>
        <family val="2"/>
      </rPr>
      <t xml:space="preserve">| </t>
    </r>
    <r>
      <rPr>
        <sz val="10"/>
        <rFont val="DejaVu Sans"/>
        <family val="2"/>
      </rPr>
      <t>투자기업</t>
    </r>
    <r>
      <rPr>
        <sz val="10"/>
        <rFont val="Arial"/>
        <family val="2"/>
      </rPr>
      <t>: SK On, Key Capture Energy</t>
    </r>
  </si>
  <si>
    <t>하일랜드에쿼티파트너스</t>
  </si>
  <si>
    <r>
      <rPr>
        <sz val="10"/>
        <rFont val="DejaVu Sans"/>
        <family val="2"/>
      </rPr>
      <t>교육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헬스케어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소비재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핀테크</t>
    </r>
  </si>
  <si>
    <t>이앤인베스트먼트</t>
  </si>
  <si>
    <r>
      <rPr>
        <sz val="10"/>
        <rFont val="Arial"/>
        <family val="2"/>
      </rPr>
      <t xml:space="preserve">IT, </t>
    </r>
    <r>
      <rPr>
        <sz val="10"/>
        <rFont val="DejaVu Sans"/>
        <family val="2"/>
      </rPr>
      <t>바이오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헬스케어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벤처</t>
    </r>
  </si>
  <si>
    <t>브레인자산운용</t>
  </si>
  <si>
    <r>
      <rPr>
        <sz val="10"/>
        <rFont val="DejaVu Sans"/>
        <family val="2"/>
      </rPr>
      <t>환경</t>
    </r>
    <r>
      <rPr>
        <sz val="10"/>
        <rFont val="Arial"/>
        <family val="2"/>
      </rPr>
      <t>/</t>
    </r>
    <r>
      <rPr>
        <sz val="10"/>
        <rFont val="DejaVu Sans"/>
        <family val="2"/>
      </rPr>
      <t xml:space="preserve">에너지 </t>
    </r>
    <r>
      <rPr>
        <sz val="10"/>
        <rFont val="Arial"/>
        <family val="2"/>
      </rPr>
      <t xml:space="preserve">| </t>
    </r>
    <r>
      <rPr>
        <sz val="10"/>
        <rFont val="DejaVu Sans"/>
        <family val="2"/>
      </rPr>
      <t>투자기업</t>
    </r>
    <r>
      <rPr>
        <sz val="10"/>
        <rFont val="Arial"/>
        <family val="2"/>
      </rPr>
      <t>: SK</t>
    </r>
    <r>
      <rPr>
        <sz val="10"/>
        <rFont val="DejaVu Sans"/>
        <family val="2"/>
      </rPr>
      <t>에코플랜트</t>
    </r>
  </si>
  <si>
    <t>엘비프라이빗에쿼티</t>
  </si>
  <si>
    <r>
      <rPr>
        <sz val="10"/>
        <rFont val="DejaVu Sans"/>
        <family val="2"/>
      </rPr>
      <t>엔터테인먼트</t>
    </r>
    <r>
      <rPr>
        <sz val="10"/>
        <rFont val="Arial"/>
        <family val="2"/>
      </rPr>
      <t>, 2</t>
    </r>
    <r>
      <rPr>
        <sz val="10"/>
        <rFont val="DejaVu Sans"/>
        <family val="2"/>
      </rPr>
      <t>차전지소재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 xml:space="preserve">제조 </t>
    </r>
    <r>
      <rPr>
        <sz val="10"/>
        <rFont val="Arial"/>
        <family val="2"/>
      </rPr>
      <t xml:space="preserve">| </t>
    </r>
    <r>
      <rPr>
        <sz val="10"/>
        <rFont val="DejaVu Sans"/>
        <family val="2"/>
      </rPr>
      <t>투자기업</t>
    </r>
    <r>
      <rPr>
        <sz val="10"/>
        <rFont val="Arial"/>
        <family val="2"/>
      </rPr>
      <t xml:space="preserve">: </t>
    </r>
    <r>
      <rPr>
        <sz val="10"/>
        <rFont val="DejaVu Sans"/>
        <family val="2"/>
      </rPr>
      <t>하이브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에코프로비엠</t>
    </r>
  </si>
  <si>
    <t>디에스프라이빗에쿼티</t>
  </si>
  <si>
    <r>
      <rPr>
        <sz val="10"/>
        <rFont val="DejaVu Sans"/>
        <family val="2"/>
      </rPr>
      <t>기술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헬스케어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소비재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금융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에너지</t>
    </r>
  </si>
  <si>
    <t>케이비증권</t>
  </si>
  <si>
    <t>카무르프라이빗에쿼티</t>
  </si>
  <si>
    <r>
      <rPr>
        <sz val="10"/>
        <rFont val="DejaVu Sans"/>
        <family val="2"/>
      </rPr>
      <t>식품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절삭공구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반도체장비부품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벽지</t>
    </r>
    <r>
      <rPr>
        <sz val="10"/>
        <rFont val="Arial"/>
        <family val="2"/>
      </rPr>
      <t>/</t>
    </r>
    <r>
      <rPr>
        <sz val="10"/>
        <rFont val="DejaVu Sans"/>
        <family val="2"/>
      </rPr>
      <t xml:space="preserve">인테리어 </t>
    </r>
    <r>
      <rPr>
        <sz val="10"/>
        <rFont val="Arial"/>
        <family val="2"/>
      </rPr>
      <t xml:space="preserve">| </t>
    </r>
    <r>
      <rPr>
        <sz val="10"/>
        <rFont val="DejaVu Sans"/>
        <family val="2"/>
      </rPr>
      <t>투자기업</t>
    </r>
    <r>
      <rPr>
        <sz val="10"/>
        <rFont val="Arial"/>
        <family val="2"/>
      </rPr>
      <t xml:space="preserve">: </t>
    </r>
    <r>
      <rPr>
        <sz val="10"/>
        <rFont val="DejaVu Sans"/>
        <family val="2"/>
      </rPr>
      <t>만전식품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제이제이툴스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위너에코텍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신한벽지</t>
    </r>
  </si>
  <si>
    <t>키스톤프라이빗에쿼티</t>
  </si>
  <si>
    <r>
      <rPr>
        <sz val="10"/>
        <rFont val="DejaVu Sans"/>
        <family val="2"/>
      </rPr>
      <t>미디어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조선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 xml:space="preserve">건축 </t>
    </r>
    <r>
      <rPr>
        <sz val="10"/>
        <rFont val="Arial"/>
        <family val="2"/>
      </rPr>
      <t xml:space="preserve">| </t>
    </r>
    <r>
      <rPr>
        <sz val="10"/>
        <rFont val="DejaVu Sans"/>
        <family val="2"/>
      </rPr>
      <t>투자기업</t>
    </r>
    <r>
      <rPr>
        <sz val="10"/>
        <rFont val="Arial"/>
        <family val="2"/>
      </rPr>
      <t xml:space="preserve">: </t>
    </r>
    <r>
      <rPr>
        <sz val="10"/>
        <rFont val="DejaVu Sans"/>
        <family val="2"/>
      </rPr>
      <t>아시아경제</t>
    </r>
    <r>
      <rPr>
        <sz val="10"/>
        <rFont val="Arial"/>
        <family val="2"/>
      </rPr>
      <t>, AA</t>
    </r>
    <r>
      <rPr>
        <sz val="10"/>
        <rFont val="DejaVu Sans"/>
        <family val="2"/>
      </rPr>
      <t>아치그룹</t>
    </r>
  </si>
  <si>
    <t>린드먼아시아인베스트먼트</t>
  </si>
  <si>
    <r>
      <rPr>
        <sz val="10"/>
        <rFont val="DejaVu Sans"/>
        <family val="2"/>
      </rPr>
      <t>바이오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의료기기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전자</t>
    </r>
    <r>
      <rPr>
        <sz val="10"/>
        <rFont val="Arial"/>
        <family val="2"/>
      </rPr>
      <t>/</t>
    </r>
    <r>
      <rPr>
        <sz val="10"/>
        <rFont val="DejaVu Sans"/>
        <family val="2"/>
      </rPr>
      <t xml:space="preserve">반도체 </t>
    </r>
    <r>
      <rPr>
        <sz val="10"/>
        <rFont val="Arial"/>
        <family val="2"/>
      </rPr>
      <t xml:space="preserve">| </t>
    </r>
    <r>
      <rPr>
        <sz val="10"/>
        <rFont val="DejaVu Sans"/>
        <family val="2"/>
      </rPr>
      <t>투자기업</t>
    </r>
    <r>
      <rPr>
        <sz val="10"/>
        <rFont val="Arial"/>
        <family val="2"/>
      </rPr>
      <t xml:space="preserve">: </t>
    </r>
    <r>
      <rPr>
        <sz val="10"/>
        <rFont val="DejaVu Sans"/>
        <family val="2"/>
      </rPr>
      <t>에이프로젠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씨벤티지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코렌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성호전자</t>
    </r>
  </si>
  <si>
    <t>뉴레이크얼라이언스매니지먼트</t>
  </si>
  <si>
    <r>
      <rPr>
        <sz val="10"/>
        <rFont val="DejaVu Sans"/>
        <family val="2"/>
      </rPr>
      <t>헬스케어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인프라</t>
    </r>
  </si>
  <si>
    <t>케이클라비스</t>
  </si>
  <si>
    <r>
      <rPr>
        <sz val="10"/>
        <rFont val="DejaVu Sans"/>
        <family val="2"/>
      </rPr>
      <t>바이오</t>
    </r>
    <r>
      <rPr>
        <sz val="10"/>
        <rFont val="Arial"/>
        <family val="2"/>
      </rPr>
      <t>/</t>
    </r>
    <r>
      <rPr>
        <sz val="10"/>
        <rFont val="DejaVu Sans"/>
        <family val="2"/>
      </rPr>
      <t>의료</t>
    </r>
    <r>
      <rPr>
        <sz val="10"/>
        <rFont val="Arial"/>
        <family val="2"/>
      </rPr>
      <t xml:space="preserve">, AI, </t>
    </r>
    <r>
      <rPr>
        <sz val="10"/>
        <rFont val="DejaVu Sans"/>
        <family val="2"/>
      </rPr>
      <t>데이터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 xml:space="preserve">헬스케어스타트업 </t>
    </r>
    <r>
      <rPr>
        <sz val="10"/>
        <rFont val="Arial"/>
        <family val="2"/>
      </rPr>
      <t xml:space="preserve">| </t>
    </r>
    <r>
      <rPr>
        <sz val="10"/>
        <rFont val="DejaVu Sans"/>
        <family val="2"/>
      </rPr>
      <t>투자기업</t>
    </r>
    <r>
      <rPr>
        <sz val="10"/>
        <rFont val="Arial"/>
        <family val="2"/>
      </rPr>
      <t xml:space="preserve">: </t>
    </r>
    <r>
      <rPr>
        <sz val="10"/>
        <rFont val="DejaVu Sans"/>
        <family val="2"/>
      </rPr>
      <t>베르티스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아이콘루프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닥프렌즈</t>
    </r>
  </si>
  <si>
    <t>더함파트너스</t>
  </si>
  <si>
    <r>
      <rPr>
        <sz val="10"/>
        <rFont val="DejaVu Sans"/>
        <family val="2"/>
      </rPr>
      <t>화장품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화학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 xml:space="preserve">폐기물처리 </t>
    </r>
    <r>
      <rPr>
        <sz val="10"/>
        <rFont val="Arial"/>
        <family val="2"/>
      </rPr>
      <t xml:space="preserve">| </t>
    </r>
    <r>
      <rPr>
        <sz val="10"/>
        <rFont val="DejaVu Sans"/>
        <family val="2"/>
      </rPr>
      <t>투자기업</t>
    </r>
    <r>
      <rPr>
        <sz val="10"/>
        <rFont val="Arial"/>
        <family val="2"/>
      </rPr>
      <t xml:space="preserve">: </t>
    </r>
    <r>
      <rPr>
        <sz val="10"/>
        <rFont val="DejaVu Sans"/>
        <family val="2"/>
      </rPr>
      <t>티르티르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광진화학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제이엔텍</t>
    </r>
  </si>
  <si>
    <t>에스비아이인베스트먼트</t>
  </si>
  <si>
    <r>
      <rPr>
        <sz val="10"/>
        <rFont val="DejaVu Sans"/>
        <family val="2"/>
      </rPr>
      <t>소부장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바이오</t>
    </r>
    <r>
      <rPr>
        <sz val="10"/>
        <rFont val="Arial"/>
        <family val="2"/>
      </rPr>
      <t>/</t>
    </r>
    <r>
      <rPr>
        <sz val="10"/>
        <rFont val="DejaVu Sans"/>
        <family val="2"/>
      </rPr>
      <t>헬스케어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미디어</t>
    </r>
    <r>
      <rPr>
        <sz val="10"/>
        <rFont val="Arial"/>
        <family val="2"/>
      </rPr>
      <t>/</t>
    </r>
    <r>
      <rPr>
        <sz val="10"/>
        <rFont val="DejaVu Sans"/>
        <family val="2"/>
      </rPr>
      <t>콘텐츠</t>
    </r>
    <r>
      <rPr>
        <sz val="10"/>
        <rFont val="Arial"/>
        <family val="2"/>
      </rPr>
      <t xml:space="preserve">, AI, </t>
    </r>
    <r>
      <rPr>
        <sz val="10"/>
        <rFont val="DejaVu Sans"/>
        <family val="2"/>
      </rPr>
      <t>로보틱스</t>
    </r>
  </si>
  <si>
    <t>팩텀프라이빗에쿼티</t>
  </si>
  <si>
    <r>
      <rPr>
        <sz val="10"/>
        <rFont val="DejaVu Sans"/>
        <family val="2"/>
      </rPr>
      <t>골프</t>
    </r>
    <r>
      <rPr>
        <sz val="10"/>
        <rFont val="Arial"/>
        <family val="2"/>
      </rPr>
      <t>/</t>
    </r>
    <r>
      <rPr>
        <sz val="10"/>
        <rFont val="DejaVu Sans"/>
        <family val="2"/>
      </rPr>
      <t>컨트리클럽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리조트</t>
    </r>
    <r>
      <rPr>
        <sz val="10"/>
        <rFont val="Arial"/>
        <family val="2"/>
      </rPr>
      <t>/</t>
    </r>
    <r>
      <rPr>
        <sz val="10"/>
        <rFont val="DejaVu Sans"/>
        <family val="2"/>
      </rPr>
      <t xml:space="preserve">레저 </t>
    </r>
    <r>
      <rPr>
        <sz val="10"/>
        <rFont val="Arial"/>
        <family val="2"/>
      </rPr>
      <t xml:space="preserve">| </t>
    </r>
    <r>
      <rPr>
        <sz val="10"/>
        <rFont val="DejaVu Sans"/>
        <family val="2"/>
      </rPr>
      <t>투자기업</t>
    </r>
    <r>
      <rPr>
        <sz val="10"/>
        <rFont val="Arial"/>
        <family val="2"/>
      </rPr>
      <t xml:space="preserve">: </t>
    </r>
    <r>
      <rPr>
        <sz val="10"/>
        <rFont val="DejaVu Sans"/>
        <family val="2"/>
      </rPr>
      <t>파가니카</t>
    </r>
    <r>
      <rPr>
        <sz val="10"/>
        <rFont val="Arial"/>
        <family val="2"/>
      </rPr>
      <t xml:space="preserve">CC, </t>
    </r>
    <r>
      <rPr>
        <sz val="10"/>
        <rFont val="DejaVu Sans"/>
        <family val="2"/>
      </rPr>
      <t>카스카디아</t>
    </r>
    <r>
      <rPr>
        <sz val="10"/>
        <rFont val="Arial"/>
        <family val="2"/>
      </rPr>
      <t>CC</t>
    </r>
  </si>
  <si>
    <t>피티에이에쿼티파트너스</t>
  </si>
  <si>
    <r>
      <rPr>
        <sz val="10"/>
        <rFont val="DejaVu Sans"/>
        <family val="2"/>
      </rPr>
      <t>자산운용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 xml:space="preserve">펀드서비스 </t>
    </r>
    <r>
      <rPr>
        <sz val="10"/>
        <rFont val="Arial"/>
        <family val="2"/>
      </rPr>
      <t xml:space="preserve">| </t>
    </r>
    <r>
      <rPr>
        <sz val="10"/>
        <rFont val="DejaVu Sans"/>
        <family val="2"/>
      </rPr>
      <t>투자기업</t>
    </r>
    <r>
      <rPr>
        <sz val="10"/>
        <rFont val="Arial"/>
        <family val="2"/>
      </rPr>
      <t xml:space="preserve">: </t>
    </r>
    <r>
      <rPr>
        <sz val="10"/>
        <rFont val="DejaVu Sans"/>
        <family val="2"/>
      </rPr>
      <t>한국펀드파트너스</t>
    </r>
  </si>
  <si>
    <t>헬리오스프라이빗에쿼티</t>
  </si>
  <si>
    <r>
      <rPr>
        <sz val="10"/>
        <rFont val="DejaVu Sans"/>
        <family val="2"/>
      </rPr>
      <t>코스메틱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 xml:space="preserve">반도체공정모니터링 </t>
    </r>
    <r>
      <rPr>
        <sz val="10"/>
        <rFont val="Arial"/>
        <family val="2"/>
      </rPr>
      <t xml:space="preserve">| </t>
    </r>
    <r>
      <rPr>
        <sz val="10"/>
        <rFont val="DejaVu Sans"/>
        <family val="2"/>
      </rPr>
      <t>투자기업</t>
    </r>
    <r>
      <rPr>
        <sz val="10"/>
        <rFont val="Arial"/>
        <family val="2"/>
      </rPr>
      <t xml:space="preserve">: </t>
    </r>
    <r>
      <rPr>
        <sz val="10"/>
        <rFont val="DejaVu Sans"/>
        <family val="2"/>
      </rPr>
      <t>솔레오코스메틱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네오탑</t>
    </r>
  </si>
  <si>
    <t>지오투자파트너스</t>
  </si>
  <si>
    <t>어펄마캐피탈크레딧솔루션즈코리아</t>
  </si>
  <si>
    <t>소시어스</t>
  </si>
  <si>
    <r>
      <rPr>
        <sz val="10"/>
        <rFont val="DejaVu Sans"/>
        <family val="2"/>
      </rPr>
      <t>엔진제조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건설중장비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 xml:space="preserve">항공사 </t>
    </r>
    <r>
      <rPr>
        <sz val="10"/>
        <rFont val="Arial"/>
        <family val="2"/>
      </rPr>
      <t xml:space="preserve">| </t>
    </r>
    <r>
      <rPr>
        <sz val="10"/>
        <rFont val="DejaVu Sans"/>
        <family val="2"/>
      </rPr>
      <t>투자기업</t>
    </r>
    <r>
      <rPr>
        <sz val="10"/>
        <rFont val="Arial"/>
        <family val="2"/>
      </rPr>
      <t>: HSD</t>
    </r>
    <r>
      <rPr>
        <sz val="10"/>
        <rFont val="DejaVu Sans"/>
        <family val="2"/>
      </rPr>
      <t>엔진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모트롤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에어인천</t>
    </r>
  </si>
  <si>
    <t>에스케이에스크레딧</t>
  </si>
  <si>
    <t>오에프앤파트너스</t>
  </si>
  <si>
    <t>미래에셋벤처투자</t>
  </si>
  <si>
    <t>아크앤파트너스</t>
  </si>
  <si>
    <r>
      <rPr>
        <sz val="10"/>
        <rFont val="DejaVu Sans"/>
        <family val="2"/>
      </rPr>
      <t>스타트업</t>
    </r>
    <r>
      <rPr>
        <sz val="10"/>
        <rFont val="Arial"/>
        <family val="2"/>
      </rPr>
      <t xml:space="preserve">, B2B, HR Tech, </t>
    </r>
    <r>
      <rPr>
        <sz val="10"/>
        <rFont val="DejaVu Sans"/>
        <family val="2"/>
      </rPr>
      <t xml:space="preserve">라이프스타일 </t>
    </r>
    <r>
      <rPr>
        <sz val="10"/>
        <rFont val="Arial"/>
        <family val="2"/>
      </rPr>
      <t xml:space="preserve">| </t>
    </r>
    <r>
      <rPr>
        <sz val="10"/>
        <rFont val="DejaVu Sans"/>
        <family val="2"/>
      </rPr>
      <t>투자기업</t>
    </r>
    <r>
      <rPr>
        <sz val="10"/>
        <rFont val="Arial"/>
        <family val="2"/>
      </rPr>
      <t xml:space="preserve">: </t>
    </r>
    <r>
      <rPr>
        <sz val="10"/>
        <rFont val="DejaVu Sans"/>
        <family val="2"/>
      </rPr>
      <t>리멤버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카시나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팀스파르타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숨고</t>
    </r>
  </si>
  <si>
    <t>브이엘인베스트먼트</t>
  </si>
  <si>
    <r>
      <rPr>
        <sz val="10"/>
        <rFont val="DejaVu Sans"/>
        <family val="2"/>
      </rPr>
      <t>폐기물처리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도시광산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재활용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 xml:space="preserve">환경산업 </t>
    </r>
    <r>
      <rPr>
        <sz val="10"/>
        <rFont val="Arial"/>
        <family val="2"/>
      </rPr>
      <t xml:space="preserve">| </t>
    </r>
    <r>
      <rPr>
        <sz val="10"/>
        <rFont val="DejaVu Sans"/>
        <family val="2"/>
      </rPr>
      <t>투자기업</t>
    </r>
    <r>
      <rPr>
        <sz val="10"/>
        <rFont val="Arial"/>
        <family val="2"/>
      </rPr>
      <t xml:space="preserve">: </t>
    </r>
    <r>
      <rPr>
        <sz val="10"/>
        <rFont val="DejaVu Sans"/>
        <family val="2"/>
      </rPr>
      <t>에코재팬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주영테크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영천에코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국제환경산업</t>
    </r>
  </si>
  <si>
    <t>오퍼스프라이빗에퀴티</t>
  </si>
  <si>
    <r>
      <rPr>
        <sz val="10"/>
        <rFont val="DejaVu Sans"/>
        <family val="2"/>
      </rPr>
      <t>자동차부품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교육</t>
    </r>
    <r>
      <rPr>
        <sz val="10"/>
        <rFont val="Arial"/>
        <family val="2"/>
      </rPr>
      <t xml:space="preserve">, Tech | </t>
    </r>
    <r>
      <rPr>
        <sz val="10"/>
        <rFont val="DejaVu Sans"/>
        <family val="2"/>
      </rPr>
      <t>투자기업</t>
    </r>
    <r>
      <rPr>
        <sz val="10"/>
        <rFont val="Arial"/>
        <family val="2"/>
      </rPr>
      <t xml:space="preserve">: </t>
    </r>
    <r>
      <rPr>
        <sz val="10"/>
        <rFont val="DejaVu Sans"/>
        <family val="2"/>
      </rPr>
      <t>모베이스전자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에듀스파박문각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카프로</t>
    </r>
  </si>
  <si>
    <t>베이사이드프라이빗에쿼티</t>
  </si>
  <si>
    <t>시냅틱인베스트먼트</t>
  </si>
  <si>
    <r>
      <rPr>
        <sz val="10"/>
        <rFont val="DejaVu Sans"/>
        <family val="2"/>
      </rPr>
      <t>헬스케어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진단</t>
    </r>
    <r>
      <rPr>
        <sz val="10"/>
        <rFont val="Arial"/>
        <family val="2"/>
      </rPr>
      <t>, AI/</t>
    </r>
    <r>
      <rPr>
        <sz val="10"/>
        <rFont val="DejaVu Sans"/>
        <family val="2"/>
      </rPr>
      <t xml:space="preserve">분석 </t>
    </r>
    <r>
      <rPr>
        <sz val="10"/>
        <rFont val="Arial"/>
        <family val="2"/>
      </rPr>
      <t xml:space="preserve">| </t>
    </r>
    <r>
      <rPr>
        <sz val="10"/>
        <rFont val="DejaVu Sans"/>
        <family val="2"/>
      </rPr>
      <t>투자기업</t>
    </r>
    <r>
      <rPr>
        <sz val="10"/>
        <rFont val="Arial"/>
        <family val="2"/>
      </rPr>
      <t xml:space="preserve">: </t>
    </r>
    <r>
      <rPr>
        <sz val="10"/>
        <rFont val="DejaVu Sans"/>
        <family val="2"/>
      </rPr>
      <t>그린벳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이니바이오</t>
    </r>
  </si>
  <si>
    <t>랜턴에이앤아이</t>
  </si>
  <si>
    <t>하나에프앤아이</t>
  </si>
  <si>
    <t>유티씨인베스트먼트</t>
  </si>
  <si>
    <t>아이비케이투자증권</t>
  </si>
  <si>
    <t>산은캐피탈</t>
  </si>
  <si>
    <r>
      <rPr>
        <sz val="10"/>
        <rFont val="DejaVu Sans"/>
        <family val="2"/>
      </rPr>
      <t>바이오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디지털헬스</t>
    </r>
    <r>
      <rPr>
        <sz val="10"/>
        <rFont val="Arial"/>
        <family val="2"/>
      </rPr>
      <t>, AI</t>
    </r>
  </si>
  <si>
    <t>노틱인베스트먼트</t>
  </si>
  <si>
    <t>에이알에이코리아자산운용</t>
  </si>
  <si>
    <t>엠캐피탈</t>
  </si>
  <si>
    <t>엘엑스인베스트먼트</t>
  </si>
  <si>
    <r>
      <rPr>
        <sz val="10"/>
        <rFont val="DejaVu Sans"/>
        <family val="2"/>
      </rPr>
      <t>소부장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 xml:space="preserve">화학 </t>
    </r>
    <r>
      <rPr>
        <sz val="10"/>
        <rFont val="Arial"/>
        <family val="2"/>
      </rPr>
      <t xml:space="preserve">| </t>
    </r>
    <r>
      <rPr>
        <sz val="10"/>
        <rFont val="DejaVu Sans"/>
        <family val="2"/>
      </rPr>
      <t>투자기업</t>
    </r>
    <r>
      <rPr>
        <sz val="10"/>
        <rFont val="Arial"/>
        <family val="2"/>
      </rPr>
      <t xml:space="preserve">: SSP, </t>
    </r>
    <r>
      <rPr>
        <sz val="10"/>
        <rFont val="DejaVu Sans"/>
        <family val="2"/>
      </rPr>
      <t>새빗켐</t>
    </r>
  </si>
  <si>
    <t>어센트프라이빗에쿼티</t>
  </si>
  <si>
    <r>
      <rPr>
        <sz val="10"/>
        <rFont val="DejaVu Sans"/>
        <family val="2"/>
      </rPr>
      <t>수소용기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위생용품</t>
    </r>
    <r>
      <rPr>
        <sz val="10"/>
        <rFont val="Arial"/>
        <family val="2"/>
      </rPr>
      <t>, K-</t>
    </r>
    <r>
      <rPr>
        <sz val="10"/>
        <rFont val="DejaVu Sans"/>
        <family val="2"/>
      </rPr>
      <t xml:space="preserve">뷰티 </t>
    </r>
    <r>
      <rPr>
        <sz val="10"/>
        <rFont val="Arial"/>
        <family val="2"/>
      </rPr>
      <t xml:space="preserve">| </t>
    </r>
    <r>
      <rPr>
        <sz val="10"/>
        <rFont val="DejaVu Sans"/>
        <family val="2"/>
      </rPr>
      <t>투자기업</t>
    </r>
    <r>
      <rPr>
        <sz val="10"/>
        <rFont val="Arial"/>
        <family val="2"/>
      </rPr>
      <t xml:space="preserve">: </t>
    </r>
    <r>
      <rPr>
        <sz val="10"/>
        <rFont val="DejaVu Sans"/>
        <family val="2"/>
      </rPr>
      <t>에테르시티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중원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씨앤씨인터내셔널</t>
    </r>
  </si>
  <si>
    <t>중소기업은행</t>
  </si>
  <si>
    <t>메티스톤에퀴티파트너스</t>
  </si>
  <si>
    <r>
      <rPr>
        <sz val="10"/>
        <rFont val="DejaVu Sans"/>
        <family val="2"/>
      </rPr>
      <t>전자상거래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 xml:space="preserve">의료 </t>
    </r>
    <r>
      <rPr>
        <sz val="10"/>
        <rFont val="Arial"/>
        <family val="2"/>
      </rPr>
      <t xml:space="preserve">| </t>
    </r>
    <r>
      <rPr>
        <sz val="10"/>
        <rFont val="DejaVu Sans"/>
        <family val="2"/>
      </rPr>
      <t>투자기업</t>
    </r>
    <r>
      <rPr>
        <sz val="10"/>
        <rFont val="Arial"/>
        <family val="2"/>
      </rPr>
      <t xml:space="preserve">: </t>
    </r>
    <r>
      <rPr>
        <sz val="10"/>
        <rFont val="DejaVu Sans"/>
        <family val="2"/>
      </rPr>
      <t>큐텐</t>
    </r>
    <r>
      <rPr>
        <sz val="10"/>
        <rFont val="Arial"/>
        <family val="2"/>
      </rPr>
      <t xml:space="preserve">(Qoo10), </t>
    </r>
    <r>
      <rPr>
        <sz val="10"/>
        <rFont val="DejaVu Sans"/>
        <family val="2"/>
      </rPr>
      <t>진이어스</t>
    </r>
  </si>
  <si>
    <t>한국투자증권</t>
  </si>
  <si>
    <t>캐피탈랜드투자운용</t>
  </si>
  <si>
    <t>케이비인베스트먼트</t>
  </si>
  <si>
    <r>
      <rPr>
        <sz val="10"/>
        <rFont val="Arial"/>
        <family val="2"/>
      </rPr>
      <t xml:space="preserve">AI, </t>
    </r>
    <r>
      <rPr>
        <sz val="10"/>
        <rFont val="DejaVu Sans"/>
        <family val="2"/>
      </rPr>
      <t>반도체</t>
    </r>
    <r>
      <rPr>
        <sz val="10"/>
        <rFont val="Arial"/>
        <family val="2"/>
      </rPr>
      <t xml:space="preserve">, ICT | </t>
    </r>
    <r>
      <rPr>
        <sz val="10"/>
        <rFont val="DejaVu Sans"/>
        <family val="2"/>
      </rPr>
      <t>투자기업</t>
    </r>
    <r>
      <rPr>
        <sz val="10"/>
        <rFont val="Arial"/>
        <family val="2"/>
      </rPr>
      <t xml:space="preserve">: </t>
    </r>
    <r>
      <rPr>
        <sz val="10"/>
        <rFont val="DejaVu Sans"/>
        <family val="2"/>
      </rPr>
      <t>에센셜</t>
    </r>
    <r>
      <rPr>
        <sz val="10"/>
        <rFont val="Arial"/>
        <family val="2"/>
      </rPr>
      <t xml:space="preserve">AI, </t>
    </r>
    <r>
      <rPr>
        <sz val="10"/>
        <rFont val="DejaVu Sans"/>
        <family val="2"/>
      </rPr>
      <t>리벨리온</t>
    </r>
  </si>
  <si>
    <t>파라마크벤처스</t>
  </si>
  <si>
    <t>이지스투자파트너스</t>
  </si>
  <si>
    <r>
      <rPr>
        <sz val="10"/>
        <rFont val="DejaVu Sans"/>
        <family val="2"/>
      </rPr>
      <t>식품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석산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 xml:space="preserve">기술 </t>
    </r>
    <r>
      <rPr>
        <sz val="10"/>
        <rFont val="Arial"/>
        <family val="2"/>
      </rPr>
      <t xml:space="preserve">| </t>
    </r>
    <r>
      <rPr>
        <sz val="10"/>
        <rFont val="DejaVu Sans"/>
        <family val="2"/>
      </rPr>
      <t>투자기업</t>
    </r>
    <r>
      <rPr>
        <sz val="10"/>
        <rFont val="Arial"/>
        <family val="2"/>
      </rPr>
      <t xml:space="preserve">: </t>
    </r>
    <r>
      <rPr>
        <sz val="10"/>
        <rFont val="DejaVu Sans"/>
        <family val="2"/>
      </rPr>
      <t>오케이미트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대홍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트위니</t>
    </r>
  </si>
  <si>
    <t>코리아와이드파트너스</t>
  </si>
  <si>
    <r>
      <rPr>
        <sz val="10"/>
        <rFont val="Arial"/>
        <family val="2"/>
      </rPr>
      <t xml:space="preserve">IT, </t>
    </r>
    <r>
      <rPr>
        <sz val="10"/>
        <rFont val="DejaVu Sans"/>
        <family val="2"/>
      </rPr>
      <t>게임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엔터테인먼트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헬스케어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 xml:space="preserve">의료기기 </t>
    </r>
    <r>
      <rPr>
        <sz val="10"/>
        <rFont val="Arial"/>
        <family val="2"/>
      </rPr>
      <t xml:space="preserve">| </t>
    </r>
    <r>
      <rPr>
        <sz val="10"/>
        <rFont val="DejaVu Sans"/>
        <family val="2"/>
      </rPr>
      <t>투자기업</t>
    </r>
    <r>
      <rPr>
        <sz val="10"/>
        <rFont val="Arial"/>
        <family val="2"/>
      </rPr>
      <t xml:space="preserve">: </t>
    </r>
    <r>
      <rPr>
        <sz val="10"/>
        <rFont val="DejaVu Sans"/>
        <family val="2"/>
      </rPr>
      <t>카카오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네이버</t>
    </r>
    <r>
      <rPr>
        <sz val="10"/>
        <rFont val="Arial"/>
        <family val="2"/>
      </rPr>
      <t>, YG</t>
    </r>
    <r>
      <rPr>
        <sz val="10"/>
        <rFont val="DejaVu Sans"/>
        <family val="2"/>
      </rPr>
      <t>엔터테인먼트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바디프랜드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오스템임플란트</t>
    </r>
  </si>
  <si>
    <t>하이랜드캐피탈매니지먼트코리아</t>
  </si>
  <si>
    <t>스톤브릿지벤처스</t>
  </si>
  <si>
    <r>
      <rPr>
        <sz val="10"/>
        <rFont val="DejaVu Sans"/>
        <family val="2"/>
      </rPr>
      <t>핀테크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게임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카셰어링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 xml:space="preserve">부동산 </t>
    </r>
    <r>
      <rPr>
        <sz val="10"/>
        <rFont val="Arial"/>
        <family val="2"/>
      </rPr>
      <t xml:space="preserve">| </t>
    </r>
    <r>
      <rPr>
        <sz val="10"/>
        <rFont val="DejaVu Sans"/>
        <family val="2"/>
      </rPr>
      <t>투자기업</t>
    </r>
    <r>
      <rPr>
        <sz val="10"/>
        <rFont val="Arial"/>
        <family val="2"/>
      </rPr>
      <t xml:space="preserve">: </t>
    </r>
    <r>
      <rPr>
        <sz val="10"/>
        <rFont val="DejaVu Sans"/>
        <family val="2"/>
      </rPr>
      <t>레이니스트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크래프톤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쏘카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직방</t>
    </r>
  </si>
  <si>
    <t>엠씨파트너스</t>
  </si>
  <si>
    <r>
      <rPr>
        <sz val="10"/>
        <rFont val="DejaVu Sans"/>
        <family val="2"/>
      </rPr>
      <t>운수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바이오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 xml:space="preserve">전기차충전 </t>
    </r>
    <r>
      <rPr>
        <sz val="10"/>
        <rFont val="Arial"/>
        <family val="2"/>
      </rPr>
      <t xml:space="preserve">| </t>
    </r>
    <r>
      <rPr>
        <sz val="10"/>
        <rFont val="DejaVu Sans"/>
        <family val="2"/>
      </rPr>
      <t>투자기업</t>
    </r>
    <r>
      <rPr>
        <sz val="10"/>
        <rFont val="Arial"/>
        <family val="2"/>
      </rPr>
      <t xml:space="preserve">: </t>
    </r>
    <r>
      <rPr>
        <sz val="10"/>
        <rFont val="DejaVu Sans"/>
        <family val="2"/>
      </rPr>
      <t>수원여객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영남고속도로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제넨바이오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플러그링크</t>
    </r>
  </si>
  <si>
    <t>루하프라이빗에쿼티</t>
  </si>
  <si>
    <r>
      <rPr>
        <sz val="10"/>
        <rFont val="DejaVu Sans"/>
        <family val="2"/>
      </rPr>
      <t>헬스케어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 xml:space="preserve">진단검사 </t>
    </r>
    <r>
      <rPr>
        <sz val="10"/>
        <rFont val="Arial"/>
        <family val="2"/>
      </rPr>
      <t xml:space="preserve">| </t>
    </r>
    <r>
      <rPr>
        <sz val="10"/>
        <rFont val="DejaVu Sans"/>
        <family val="2"/>
      </rPr>
      <t>투자기업</t>
    </r>
    <r>
      <rPr>
        <sz val="10"/>
        <rFont val="Arial"/>
        <family val="2"/>
      </rPr>
      <t xml:space="preserve">: </t>
    </r>
    <r>
      <rPr>
        <sz val="10"/>
        <rFont val="DejaVu Sans"/>
        <family val="2"/>
      </rPr>
      <t>랩지노믹스</t>
    </r>
  </si>
  <si>
    <t>아든파트너스</t>
  </si>
  <si>
    <r>
      <rPr>
        <sz val="10"/>
        <rFont val="DejaVu Sans"/>
        <family val="2"/>
      </rPr>
      <t>라이프스타일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뷰티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 xml:space="preserve">헬스케어 </t>
    </r>
    <r>
      <rPr>
        <sz val="10"/>
        <rFont val="Arial"/>
        <family val="2"/>
      </rPr>
      <t xml:space="preserve">| </t>
    </r>
    <r>
      <rPr>
        <sz val="10"/>
        <rFont val="DejaVu Sans"/>
        <family val="2"/>
      </rPr>
      <t>투자기업</t>
    </r>
    <r>
      <rPr>
        <sz val="10"/>
        <rFont val="Arial"/>
        <family val="2"/>
      </rPr>
      <t xml:space="preserve">: </t>
    </r>
    <r>
      <rPr>
        <sz val="10"/>
        <rFont val="DejaVu Sans"/>
        <family val="2"/>
      </rPr>
      <t>글로엔트그룹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패스트파이브</t>
    </r>
  </si>
  <si>
    <t>차파트너스자산운용</t>
  </si>
  <si>
    <t>노앤파트너스</t>
  </si>
  <si>
    <r>
      <rPr>
        <sz val="10"/>
        <rFont val="Arial"/>
        <family val="2"/>
      </rPr>
      <t xml:space="preserve">ICT, </t>
    </r>
    <r>
      <rPr>
        <sz val="10"/>
        <rFont val="DejaVu Sans"/>
        <family val="2"/>
      </rPr>
      <t>헬스케어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핀테크</t>
    </r>
  </si>
  <si>
    <t>이상파트너스</t>
  </si>
  <si>
    <r>
      <rPr>
        <sz val="10"/>
        <rFont val="DejaVu Sans"/>
        <family val="2"/>
      </rPr>
      <t>프로브카드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 xml:space="preserve">의료기기 </t>
    </r>
    <r>
      <rPr>
        <sz val="10"/>
        <rFont val="Arial"/>
        <family val="2"/>
      </rPr>
      <t xml:space="preserve">| </t>
    </r>
    <r>
      <rPr>
        <sz val="10"/>
        <rFont val="DejaVu Sans"/>
        <family val="2"/>
      </rPr>
      <t>투자기업</t>
    </r>
    <r>
      <rPr>
        <sz val="10"/>
        <rFont val="Arial"/>
        <family val="2"/>
      </rPr>
      <t xml:space="preserve">: </t>
    </r>
    <r>
      <rPr>
        <sz val="10"/>
        <rFont val="DejaVu Sans"/>
        <family val="2"/>
      </rPr>
      <t>한국인스트루먼트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코판글로벌</t>
    </r>
  </si>
  <si>
    <t>오케스트라어드바이저스코리아</t>
  </si>
  <si>
    <t>더블유제이프라이빗에쿼티</t>
  </si>
  <si>
    <t>엔피엑스프라이빗에쿼티</t>
  </si>
  <si>
    <r>
      <rPr>
        <sz val="10"/>
        <rFont val="DejaVu Sans"/>
        <family val="2"/>
      </rPr>
      <t>콘텐츠제작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아티스트매니지먼트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 xml:space="preserve">웹툰 </t>
    </r>
    <r>
      <rPr>
        <sz val="10"/>
        <rFont val="Arial"/>
        <family val="2"/>
      </rPr>
      <t xml:space="preserve">| </t>
    </r>
    <r>
      <rPr>
        <sz val="10"/>
        <rFont val="DejaVu Sans"/>
        <family val="2"/>
      </rPr>
      <t>투자기업</t>
    </r>
    <r>
      <rPr>
        <sz val="10"/>
        <rFont val="Arial"/>
        <family val="2"/>
      </rPr>
      <t xml:space="preserve">: </t>
    </r>
    <r>
      <rPr>
        <sz val="10"/>
        <rFont val="DejaVu Sans"/>
        <family val="2"/>
      </rPr>
      <t>코핀커뮤니케이션즈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바이옵트로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수성웹툰</t>
    </r>
  </si>
  <si>
    <t>세븐브릿지프라이빗에쿼티</t>
  </si>
  <si>
    <r>
      <rPr>
        <sz val="10"/>
        <rFont val="DejaVu Sans"/>
        <family val="2"/>
      </rPr>
      <t>산업</t>
    </r>
    <r>
      <rPr>
        <sz val="10"/>
        <rFont val="Arial"/>
        <family val="2"/>
      </rPr>
      <t>/</t>
    </r>
    <r>
      <rPr>
        <sz val="10"/>
        <rFont val="DejaVu Sans"/>
        <family val="2"/>
      </rPr>
      <t xml:space="preserve">제조 </t>
    </r>
    <r>
      <rPr>
        <sz val="10"/>
        <rFont val="Arial"/>
        <family val="2"/>
      </rPr>
      <t xml:space="preserve">| </t>
    </r>
    <r>
      <rPr>
        <sz val="10"/>
        <rFont val="DejaVu Sans"/>
        <family val="2"/>
      </rPr>
      <t>투자기업</t>
    </r>
    <r>
      <rPr>
        <sz val="10"/>
        <rFont val="Arial"/>
        <family val="2"/>
      </rPr>
      <t xml:space="preserve">: </t>
    </r>
    <r>
      <rPr>
        <sz val="10"/>
        <rFont val="DejaVu Sans"/>
        <family val="2"/>
      </rPr>
      <t>이시스템즈</t>
    </r>
  </si>
  <si>
    <t>메리츠증권</t>
  </si>
  <si>
    <t>모하비인베스트먼트</t>
  </si>
  <si>
    <r>
      <rPr>
        <sz val="10"/>
        <rFont val="DejaVu Sans"/>
        <family val="2"/>
      </rPr>
      <t>헬스케어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 xml:space="preserve">바이오 </t>
    </r>
    <r>
      <rPr>
        <sz val="10"/>
        <rFont val="Arial"/>
        <family val="2"/>
      </rPr>
      <t xml:space="preserve">| </t>
    </r>
    <r>
      <rPr>
        <sz val="10"/>
        <rFont val="DejaVu Sans"/>
        <family val="2"/>
      </rPr>
      <t>투자기업</t>
    </r>
    <r>
      <rPr>
        <sz val="10"/>
        <rFont val="Arial"/>
        <family val="2"/>
      </rPr>
      <t>: GC</t>
    </r>
    <r>
      <rPr>
        <sz val="10"/>
        <rFont val="DejaVu Sans"/>
        <family val="2"/>
      </rPr>
      <t>그린크로스홀딩스</t>
    </r>
  </si>
  <si>
    <t>스톤라인에쿼티파트너스</t>
  </si>
  <si>
    <t>리드캐피탈매니지먼트</t>
  </si>
  <si>
    <r>
      <rPr>
        <sz val="10"/>
        <rFont val="DejaVu Sans"/>
        <family val="2"/>
      </rPr>
      <t>금융서비스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 xml:space="preserve">자산운용 </t>
    </r>
    <r>
      <rPr>
        <sz val="10"/>
        <rFont val="Arial"/>
        <family val="2"/>
      </rPr>
      <t xml:space="preserve">| </t>
    </r>
    <r>
      <rPr>
        <sz val="10"/>
        <rFont val="DejaVu Sans"/>
        <family val="2"/>
      </rPr>
      <t>투자기업</t>
    </r>
    <r>
      <rPr>
        <sz val="10"/>
        <rFont val="Arial"/>
        <family val="2"/>
      </rPr>
      <t xml:space="preserve">: </t>
    </r>
    <r>
      <rPr>
        <sz val="10"/>
        <rFont val="DejaVu Sans"/>
        <family val="2"/>
      </rPr>
      <t>다올신용정보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이스트스프링자산운용</t>
    </r>
  </si>
  <si>
    <t>키움프라이빗에쿼티</t>
  </si>
  <si>
    <r>
      <rPr>
        <sz val="10"/>
        <rFont val="DejaVu Sans"/>
        <family val="2"/>
      </rPr>
      <t>화장품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 xml:space="preserve">뷰티 </t>
    </r>
    <r>
      <rPr>
        <sz val="10"/>
        <rFont val="Arial"/>
        <family val="2"/>
      </rPr>
      <t xml:space="preserve">| </t>
    </r>
    <r>
      <rPr>
        <sz val="10"/>
        <rFont val="DejaVu Sans"/>
        <family val="2"/>
      </rPr>
      <t>투자기업</t>
    </r>
    <r>
      <rPr>
        <sz val="10"/>
        <rFont val="Arial"/>
        <family val="2"/>
      </rPr>
      <t xml:space="preserve">: </t>
    </r>
    <r>
      <rPr>
        <sz val="10"/>
        <rFont val="DejaVu Sans"/>
        <family val="2"/>
      </rPr>
      <t>티르티르</t>
    </r>
    <r>
      <rPr>
        <sz val="10"/>
        <rFont val="Arial"/>
        <family val="2"/>
      </rPr>
      <t>, LACA</t>
    </r>
    <r>
      <rPr>
        <sz val="10"/>
        <rFont val="DejaVu Sans"/>
        <family val="2"/>
      </rPr>
      <t>화장품</t>
    </r>
  </si>
  <si>
    <t>아르게스프라이빗에쿼티</t>
  </si>
  <si>
    <r>
      <rPr>
        <sz val="10"/>
        <rFont val="DejaVu Sans"/>
        <family val="2"/>
      </rPr>
      <t>식음료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반도체센서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물류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 xml:space="preserve">산업잉크젯 </t>
    </r>
    <r>
      <rPr>
        <sz val="10"/>
        <rFont val="Arial"/>
        <family val="2"/>
      </rPr>
      <t xml:space="preserve">| </t>
    </r>
    <r>
      <rPr>
        <sz val="10"/>
        <rFont val="DejaVu Sans"/>
        <family val="2"/>
      </rPr>
      <t>투자기업</t>
    </r>
    <r>
      <rPr>
        <sz val="10"/>
        <rFont val="Arial"/>
        <family val="2"/>
      </rPr>
      <t>: CJ</t>
    </r>
    <r>
      <rPr>
        <sz val="10"/>
        <rFont val="DejaVu Sans"/>
        <family val="2"/>
      </rPr>
      <t>푸드빌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비트센싱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유비오로지스틱스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유니젯</t>
    </r>
  </si>
  <si>
    <t>에버베스트파트너스</t>
  </si>
  <si>
    <r>
      <rPr>
        <sz val="10"/>
        <rFont val="DejaVu Sans"/>
        <family val="2"/>
      </rPr>
      <t>자동차부품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 xml:space="preserve">화장품 </t>
    </r>
    <r>
      <rPr>
        <sz val="10"/>
        <rFont val="Arial"/>
        <family val="2"/>
      </rPr>
      <t xml:space="preserve">| </t>
    </r>
    <r>
      <rPr>
        <sz val="10"/>
        <rFont val="DejaVu Sans"/>
        <family val="2"/>
      </rPr>
      <t>투자기업</t>
    </r>
    <r>
      <rPr>
        <sz val="10"/>
        <rFont val="Arial"/>
        <family val="2"/>
      </rPr>
      <t xml:space="preserve">: ADM21, </t>
    </r>
    <r>
      <rPr>
        <sz val="10"/>
        <rFont val="DejaVu Sans"/>
        <family val="2"/>
      </rPr>
      <t>스킨푸드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화진화장품</t>
    </r>
  </si>
  <si>
    <t>유진자산운용</t>
  </si>
  <si>
    <t>화인자산운용</t>
  </si>
  <si>
    <t>마이다스프라이빗에쿼티</t>
  </si>
  <si>
    <r>
      <rPr>
        <sz val="10"/>
        <rFont val="Arial"/>
        <family val="2"/>
      </rPr>
      <t xml:space="preserve">D2C, </t>
    </r>
    <r>
      <rPr>
        <sz val="10"/>
        <rFont val="DejaVu Sans"/>
        <family val="2"/>
      </rPr>
      <t>식품</t>
    </r>
  </si>
  <si>
    <t>로터스프라이빗에쿼티</t>
  </si>
  <si>
    <r>
      <rPr>
        <sz val="10"/>
        <rFont val="DejaVu Sans"/>
        <family val="2"/>
      </rPr>
      <t>금융서비스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 xml:space="preserve">자산평가 </t>
    </r>
    <r>
      <rPr>
        <sz val="10"/>
        <rFont val="Arial"/>
        <family val="2"/>
      </rPr>
      <t xml:space="preserve">| </t>
    </r>
    <r>
      <rPr>
        <sz val="10"/>
        <rFont val="DejaVu Sans"/>
        <family val="2"/>
      </rPr>
      <t>투자기업</t>
    </r>
    <r>
      <rPr>
        <sz val="10"/>
        <rFont val="Arial"/>
        <family val="2"/>
      </rPr>
      <t xml:space="preserve">: </t>
    </r>
    <r>
      <rPr>
        <sz val="10"/>
        <rFont val="DejaVu Sans"/>
        <family val="2"/>
      </rPr>
      <t>한국자산평가</t>
    </r>
  </si>
  <si>
    <t>신한자산운용</t>
  </si>
  <si>
    <t>제이에스프라이빗에쿼티</t>
  </si>
  <si>
    <t>에이치자산운용</t>
  </si>
  <si>
    <t>팍스톤매니지먼트</t>
  </si>
  <si>
    <t>아이비케이캐피탈</t>
  </si>
  <si>
    <t>에이티유파트너스</t>
  </si>
  <si>
    <t>뉴메인에쿼티</t>
  </si>
  <si>
    <r>
      <rPr>
        <sz val="10"/>
        <rFont val="DejaVu Sans"/>
        <family val="2"/>
      </rPr>
      <t xml:space="preserve">드론 </t>
    </r>
    <r>
      <rPr>
        <sz val="10"/>
        <rFont val="Arial"/>
        <family val="2"/>
      </rPr>
      <t xml:space="preserve">| </t>
    </r>
    <r>
      <rPr>
        <sz val="10"/>
        <rFont val="DejaVu Sans"/>
        <family val="2"/>
      </rPr>
      <t>투자기업</t>
    </r>
    <r>
      <rPr>
        <sz val="10"/>
        <rFont val="Arial"/>
        <family val="2"/>
      </rPr>
      <t xml:space="preserve">: </t>
    </r>
    <r>
      <rPr>
        <sz val="10"/>
        <rFont val="DejaVu Sans"/>
        <family val="2"/>
      </rPr>
      <t>프레뉴</t>
    </r>
  </si>
  <si>
    <t>파빌리온프라이빗에쿼티</t>
  </si>
  <si>
    <r>
      <rPr>
        <sz val="10"/>
        <rFont val="DejaVu Sans"/>
        <family val="2"/>
      </rPr>
      <t>항공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소비재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산업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환경</t>
    </r>
    <r>
      <rPr>
        <sz val="10"/>
        <rFont val="Arial"/>
        <family val="2"/>
      </rPr>
      <t>/</t>
    </r>
    <r>
      <rPr>
        <sz val="10"/>
        <rFont val="DejaVu Sans"/>
        <family val="2"/>
      </rPr>
      <t xml:space="preserve">에너지 </t>
    </r>
    <r>
      <rPr>
        <sz val="10"/>
        <rFont val="Arial"/>
        <family val="2"/>
      </rPr>
      <t xml:space="preserve">| </t>
    </r>
    <r>
      <rPr>
        <sz val="10"/>
        <rFont val="DejaVu Sans"/>
        <family val="2"/>
      </rPr>
      <t>투자기업</t>
    </r>
    <r>
      <rPr>
        <sz val="10"/>
        <rFont val="Arial"/>
        <family val="2"/>
      </rPr>
      <t xml:space="preserve">: </t>
    </r>
    <r>
      <rPr>
        <sz val="10"/>
        <rFont val="DejaVu Sans"/>
        <family val="2"/>
      </rPr>
      <t>에어프레미아</t>
    </r>
  </si>
  <si>
    <t>릴슨프라이빗에쿼티</t>
  </si>
  <si>
    <t>위더스파트너스코리아지피</t>
  </si>
  <si>
    <t>포레스트파트너스</t>
  </si>
  <si>
    <r>
      <rPr>
        <sz val="10"/>
        <rFont val="DejaVu Sans"/>
        <family val="2"/>
      </rPr>
      <t>반도체</t>
    </r>
    <r>
      <rPr>
        <sz val="10"/>
        <rFont val="Arial"/>
        <family val="2"/>
      </rPr>
      <t>SSD</t>
    </r>
    <r>
      <rPr>
        <sz val="10"/>
        <rFont val="DejaVu Sans"/>
        <family val="2"/>
      </rPr>
      <t>컨트롤러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클린테크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무역플랫폼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 xml:space="preserve">수제맥주 </t>
    </r>
    <r>
      <rPr>
        <sz val="10"/>
        <rFont val="Arial"/>
        <family val="2"/>
      </rPr>
      <t xml:space="preserve">| </t>
    </r>
    <r>
      <rPr>
        <sz val="10"/>
        <rFont val="DejaVu Sans"/>
        <family val="2"/>
      </rPr>
      <t>투자기업</t>
    </r>
    <r>
      <rPr>
        <sz val="10"/>
        <rFont val="Arial"/>
        <family val="2"/>
      </rPr>
      <t xml:space="preserve">: </t>
    </r>
    <r>
      <rPr>
        <sz val="10"/>
        <rFont val="DejaVu Sans"/>
        <family val="2"/>
      </rPr>
      <t>파두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리카본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트릿지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제주맥주</t>
    </r>
  </si>
  <si>
    <t>피에스얼라이언스</t>
  </si>
  <si>
    <t>펄인베스트먼트</t>
  </si>
  <si>
    <t>웨일인베스트먼트</t>
  </si>
  <si>
    <r>
      <rPr>
        <sz val="10"/>
        <rFont val="DejaVu Sans"/>
        <family val="2"/>
      </rPr>
      <t>농산물도매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 xml:space="preserve">시내버스운송 </t>
    </r>
    <r>
      <rPr>
        <sz val="10"/>
        <rFont val="Arial"/>
        <family val="2"/>
      </rPr>
      <t xml:space="preserve">| </t>
    </r>
    <r>
      <rPr>
        <sz val="10"/>
        <rFont val="DejaVu Sans"/>
        <family val="2"/>
      </rPr>
      <t>투자기업</t>
    </r>
    <r>
      <rPr>
        <sz val="10"/>
        <rFont val="Arial"/>
        <family val="2"/>
      </rPr>
      <t xml:space="preserve">: </t>
    </r>
    <r>
      <rPr>
        <sz val="10"/>
        <rFont val="DejaVu Sans"/>
        <family val="2"/>
      </rPr>
      <t>구리청과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수원여객</t>
    </r>
  </si>
  <si>
    <t>마스턴파트너스</t>
  </si>
  <si>
    <r>
      <rPr>
        <sz val="10"/>
        <rFont val="DejaVu Sans"/>
        <family val="2"/>
      </rPr>
      <t>자동차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금융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 xml:space="preserve">실물자산 </t>
    </r>
    <r>
      <rPr>
        <sz val="10"/>
        <rFont val="Arial"/>
        <family val="2"/>
      </rPr>
      <t xml:space="preserve">| </t>
    </r>
    <r>
      <rPr>
        <sz val="10"/>
        <rFont val="DejaVu Sans"/>
        <family val="2"/>
      </rPr>
      <t>투자기업</t>
    </r>
    <r>
      <rPr>
        <sz val="10"/>
        <rFont val="Arial"/>
        <family val="2"/>
      </rPr>
      <t xml:space="preserve">: </t>
    </r>
    <r>
      <rPr>
        <sz val="10"/>
        <rFont val="DejaVu Sans"/>
        <family val="2"/>
      </rPr>
      <t>프리드라이브</t>
    </r>
  </si>
  <si>
    <t>베저스인베스트먼트</t>
  </si>
  <si>
    <t>그래비티프라이빗에쿼티</t>
  </si>
  <si>
    <r>
      <rPr>
        <sz val="10"/>
        <rFont val="DejaVu Sans"/>
        <family val="2"/>
      </rPr>
      <t>소프트웨어</t>
    </r>
    <r>
      <rPr>
        <sz val="10"/>
        <rFont val="Arial"/>
        <family val="2"/>
      </rPr>
      <t xml:space="preserve">/UX | </t>
    </r>
    <r>
      <rPr>
        <sz val="10"/>
        <rFont val="DejaVu Sans"/>
        <family val="2"/>
      </rPr>
      <t>투자기업</t>
    </r>
    <r>
      <rPr>
        <sz val="10"/>
        <rFont val="Arial"/>
        <family val="2"/>
      </rPr>
      <t xml:space="preserve">: </t>
    </r>
    <r>
      <rPr>
        <sz val="10"/>
        <rFont val="DejaVu Sans"/>
        <family val="2"/>
      </rPr>
      <t>와이즈유엑스글로벌</t>
    </r>
  </si>
  <si>
    <t>카펠라프라이빗에쿼티</t>
  </si>
  <si>
    <t>피씨에이치캐피탈파트너스</t>
  </si>
  <si>
    <t>에이티피인베스트먼트</t>
  </si>
  <si>
    <t>세마인베스트먼트</t>
  </si>
  <si>
    <t>스타셋인베스트먼트</t>
  </si>
  <si>
    <t>원레이크파트너스</t>
  </si>
  <si>
    <t>타이키파트너스</t>
  </si>
  <si>
    <t>비에이프라이빗에쿼티</t>
  </si>
  <si>
    <t>신한투자증권</t>
  </si>
  <si>
    <t>카이로스인베스트먼트</t>
  </si>
  <si>
    <t>오로라파트너스</t>
  </si>
  <si>
    <r>
      <rPr>
        <sz val="10"/>
        <rFont val="DejaVu Sans"/>
        <family val="2"/>
      </rPr>
      <t xml:space="preserve">반도체패키지 </t>
    </r>
    <r>
      <rPr>
        <sz val="10"/>
        <rFont val="Arial"/>
        <family val="2"/>
      </rPr>
      <t xml:space="preserve">| </t>
    </r>
    <r>
      <rPr>
        <sz val="10"/>
        <rFont val="DejaVu Sans"/>
        <family val="2"/>
      </rPr>
      <t>투자기업</t>
    </r>
    <r>
      <rPr>
        <sz val="10"/>
        <rFont val="Arial"/>
        <family val="2"/>
      </rPr>
      <t xml:space="preserve">: </t>
    </r>
    <r>
      <rPr>
        <sz val="10"/>
        <rFont val="DejaVu Sans"/>
        <family val="2"/>
      </rPr>
      <t>에이팩트</t>
    </r>
  </si>
  <si>
    <t>한화자산운용</t>
  </si>
  <si>
    <r>
      <rPr>
        <sz val="10"/>
        <rFont val="DejaVu Sans"/>
        <family val="2"/>
      </rPr>
      <t>자동차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금융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헬스케어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 xml:space="preserve">인프라 </t>
    </r>
    <r>
      <rPr>
        <sz val="10"/>
        <rFont val="Arial"/>
        <family val="2"/>
      </rPr>
      <t xml:space="preserve">| </t>
    </r>
    <r>
      <rPr>
        <sz val="10"/>
        <rFont val="DejaVu Sans"/>
        <family val="2"/>
      </rPr>
      <t>투자기업</t>
    </r>
    <r>
      <rPr>
        <sz val="10"/>
        <rFont val="Arial"/>
        <family val="2"/>
      </rPr>
      <t xml:space="preserve">: </t>
    </r>
    <r>
      <rPr>
        <sz val="10"/>
        <rFont val="DejaVu Sans"/>
        <family val="2"/>
      </rPr>
      <t>카카</t>
    </r>
    <r>
      <rPr>
        <sz val="10"/>
        <rFont val="Arial"/>
        <family val="2"/>
      </rPr>
      <t>(</t>
    </r>
    <r>
      <rPr>
        <sz val="10"/>
        <rFont val="DejaVu Sans"/>
        <family val="2"/>
      </rPr>
      <t>중고차플랫폼</t>
    </r>
    <r>
      <rPr>
        <sz val="10"/>
        <rFont val="Arial"/>
        <family val="2"/>
      </rPr>
      <t>)</t>
    </r>
  </si>
  <si>
    <t>레버런트파트너스</t>
  </si>
  <si>
    <t>부산에쿼티파트너스</t>
  </si>
  <si>
    <t>젠파트너스앤컴퍼니</t>
  </si>
  <si>
    <t>오큘러스에쿼티파트너스</t>
  </si>
  <si>
    <t>브릭스캐피탈매니지먼트</t>
  </si>
  <si>
    <t>위벤처스</t>
  </si>
  <si>
    <r>
      <rPr>
        <sz val="10"/>
        <rFont val="DejaVu Sans"/>
        <family val="2"/>
      </rPr>
      <t>콜드체인물류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명품이커머스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위성영상</t>
    </r>
    <r>
      <rPr>
        <sz val="10"/>
        <rFont val="Arial"/>
        <family val="2"/>
      </rPr>
      <t>, AI</t>
    </r>
    <r>
      <rPr>
        <sz val="10"/>
        <rFont val="DejaVu Sans"/>
        <family val="2"/>
      </rPr>
      <t xml:space="preserve">반도체 </t>
    </r>
    <r>
      <rPr>
        <sz val="10"/>
        <rFont val="Arial"/>
        <family val="2"/>
      </rPr>
      <t xml:space="preserve">| </t>
    </r>
    <r>
      <rPr>
        <sz val="10"/>
        <rFont val="DejaVu Sans"/>
        <family val="2"/>
      </rPr>
      <t>투자기업</t>
    </r>
    <r>
      <rPr>
        <sz val="10"/>
        <rFont val="Arial"/>
        <family val="2"/>
      </rPr>
      <t xml:space="preserve">: </t>
    </r>
    <r>
      <rPr>
        <sz val="10"/>
        <rFont val="DejaVu Sans"/>
        <family val="2"/>
      </rPr>
      <t>에스랩아시아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발란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콘텍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오픈엣지</t>
    </r>
  </si>
  <si>
    <t>리오인베스트</t>
  </si>
  <si>
    <t>더블유더블유지자산운용</t>
  </si>
  <si>
    <t>에이비즈파트너스</t>
  </si>
  <si>
    <t>인피너티캐피탈파트너스</t>
  </si>
  <si>
    <t>메타인베스트먼트</t>
  </si>
  <si>
    <t>피에스캐피탈파트너스</t>
  </si>
  <si>
    <t>아이젠프라이빗에쿼티</t>
  </si>
  <si>
    <t>스틱얼터너티브자산운용</t>
  </si>
  <si>
    <t>뱅커스트릿</t>
  </si>
  <si>
    <t>디에스자산운용</t>
  </si>
  <si>
    <t>파트너원인베스트먼트</t>
  </si>
  <si>
    <t>와이어드파트너스</t>
  </si>
  <si>
    <t>한앤브라더스</t>
  </si>
  <si>
    <t>티앤케이프라이빗에쿼티</t>
  </si>
  <si>
    <t>갤럭시프라이빗에쿼티</t>
  </si>
  <si>
    <t>그리니치프라이빗에쿼티</t>
  </si>
  <si>
    <r>
      <rPr>
        <sz val="10"/>
        <rFont val="DejaVu Sans"/>
        <family val="2"/>
      </rPr>
      <t>대중교통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 xml:space="preserve">운수 </t>
    </r>
    <r>
      <rPr>
        <sz val="10"/>
        <rFont val="Arial"/>
        <family val="2"/>
      </rPr>
      <t xml:space="preserve">| </t>
    </r>
    <r>
      <rPr>
        <sz val="10"/>
        <rFont val="DejaVu Sans"/>
        <family val="2"/>
      </rPr>
      <t>투자기업</t>
    </r>
    <r>
      <rPr>
        <sz val="10"/>
        <rFont val="Arial"/>
        <family val="2"/>
      </rPr>
      <t xml:space="preserve">: </t>
    </r>
    <r>
      <rPr>
        <sz val="10"/>
        <rFont val="DejaVu Sans"/>
        <family val="2"/>
      </rPr>
      <t>서울선진운수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미추홀교통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인천제물포교통</t>
    </r>
  </si>
  <si>
    <t>이니어스프라이빗에쿼티</t>
  </si>
  <si>
    <t>키움캐피탈</t>
  </si>
  <si>
    <t>라이노스자산운용</t>
  </si>
  <si>
    <t>씨피파트너스</t>
  </si>
  <si>
    <t>디티알파트너스</t>
  </si>
  <si>
    <t>티티유프라이빗에쿼티</t>
  </si>
  <si>
    <t>뉴아크파트너스</t>
  </si>
  <si>
    <t>기앤파트너스</t>
  </si>
  <si>
    <t>그루투자파트너스</t>
  </si>
  <si>
    <t>오아시스에쿼티파트너스</t>
  </si>
  <si>
    <t>오션프론트파트너스</t>
  </si>
  <si>
    <t>에벤투스파트너스</t>
  </si>
  <si>
    <t>엠디엠자산운용</t>
  </si>
  <si>
    <t>쿼크프라이빗에쿼티</t>
  </si>
  <si>
    <t>피엔인베스트먼트</t>
  </si>
  <si>
    <t>화이트파인파트너스</t>
  </si>
  <si>
    <t>씨브이피프라이빗에쿼티</t>
  </si>
  <si>
    <t>디케이파트너스</t>
  </si>
  <si>
    <t>농협은행</t>
  </si>
  <si>
    <t>제이커브인베스트먼트</t>
  </si>
  <si>
    <t>엘케이투자파트너스</t>
  </si>
  <si>
    <t>엘리베이션에쿼티파트너스코리아</t>
  </si>
  <si>
    <t>하베스트에쿼티파트너스</t>
  </si>
  <si>
    <t>컴퍼니파트너스</t>
  </si>
  <si>
    <t>골든루트인베스트먼트</t>
  </si>
  <si>
    <t>옐로씨매니지먼트</t>
  </si>
  <si>
    <t>레이크브릿지에쿼티파트너스</t>
  </si>
  <si>
    <t>로이투자파트너스</t>
  </si>
  <si>
    <t>민트벤처파트너스</t>
  </si>
  <si>
    <t>노틱캐피탈코리아</t>
  </si>
  <si>
    <t>오페즈인베스트먼트</t>
  </si>
  <si>
    <t>엘비인베스트먼트</t>
  </si>
  <si>
    <t>크로스로드파트너스</t>
  </si>
  <si>
    <t>퀸버인베스트먼트</t>
  </si>
  <si>
    <t>멜론파트너스</t>
  </si>
  <si>
    <t>휘트린씨앤디</t>
  </si>
  <si>
    <t>케이프투자증권</t>
  </si>
  <si>
    <t>제이더블유앤파트너스</t>
  </si>
  <si>
    <t>와이제이에이인베스트먼트</t>
  </si>
  <si>
    <t>시몬느인베스트먼트</t>
  </si>
  <si>
    <t>더시드파트너스</t>
  </si>
  <si>
    <t>티케이엘인베스트먼트파트너스</t>
  </si>
  <si>
    <t>티인베스트먼트</t>
  </si>
  <si>
    <t>베어스톤파트너스</t>
  </si>
  <si>
    <t>마일스톤그로쓰파트너스</t>
  </si>
  <si>
    <t>케이씨에이파트너스</t>
  </si>
  <si>
    <t>부코컴퍼니</t>
  </si>
  <si>
    <t>다토즈파트너스</t>
  </si>
  <si>
    <t>젤코바인베스트먼트</t>
  </si>
  <si>
    <t>오엔벤처투자</t>
  </si>
  <si>
    <t>씨엘파트너스</t>
  </si>
  <si>
    <t>얼라인파트너스자산운용</t>
  </si>
  <si>
    <t>인텔렉추얼디스커버리</t>
  </si>
  <si>
    <t>알파비스타인베스트먼트</t>
  </si>
  <si>
    <t>다윈인베스트먼트</t>
  </si>
  <si>
    <t>키움투자자산운용</t>
  </si>
  <si>
    <t>비하이인베스트먼트</t>
  </si>
  <si>
    <t>오라클벤처투자</t>
  </si>
  <si>
    <t>제이케이위더스</t>
  </si>
  <si>
    <t>스마일게이트인베스트먼트</t>
  </si>
  <si>
    <r>
      <rPr>
        <sz val="10"/>
        <rFont val="Arial"/>
        <family val="2"/>
      </rPr>
      <t xml:space="preserve">AI, </t>
    </r>
    <r>
      <rPr>
        <sz val="10"/>
        <rFont val="DejaVu Sans"/>
        <family val="2"/>
      </rPr>
      <t>헬스케어테크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게임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기술스타트업</t>
    </r>
  </si>
  <si>
    <t>크레비스파트너스</t>
  </si>
  <si>
    <t>로드인베스트먼트</t>
  </si>
  <si>
    <t>다이노캐피탈파트너스</t>
  </si>
  <si>
    <t>엘에스에스프라이빗에쿼티</t>
  </si>
  <si>
    <t>디비프라이빗에쿼티</t>
  </si>
  <si>
    <t>윤진파트너스</t>
  </si>
  <si>
    <t>브이씨엠</t>
  </si>
  <si>
    <t>테넷에쿼티파트너스</t>
  </si>
  <si>
    <t>윈터골드</t>
  </si>
  <si>
    <t>씨씨지인베스트먼트아시아</t>
  </si>
  <si>
    <t>클레어인베스트먼트</t>
  </si>
  <si>
    <t>퍼즐인베스트먼트코리아</t>
  </si>
  <si>
    <t>메인스트리트인베스트먼트</t>
  </si>
  <si>
    <t>알파자산운용</t>
  </si>
  <si>
    <t>크레디언파트너스</t>
  </si>
  <si>
    <r>
      <rPr>
        <sz val="10"/>
        <rFont val="DejaVu Sans"/>
        <family val="2"/>
      </rPr>
      <t>반도체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식품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원자력</t>
    </r>
    <r>
      <rPr>
        <sz val="10"/>
        <rFont val="Arial"/>
        <family val="2"/>
      </rPr>
      <t>/</t>
    </r>
    <r>
      <rPr>
        <sz val="10"/>
        <rFont val="DejaVu Sans"/>
        <family val="2"/>
      </rPr>
      <t xml:space="preserve">에너지 </t>
    </r>
    <r>
      <rPr>
        <sz val="10"/>
        <rFont val="Arial"/>
        <family val="2"/>
      </rPr>
      <t xml:space="preserve">| </t>
    </r>
    <r>
      <rPr>
        <sz val="10"/>
        <rFont val="DejaVu Sans"/>
        <family val="2"/>
      </rPr>
      <t>투자기업</t>
    </r>
    <r>
      <rPr>
        <sz val="10"/>
        <rFont val="Arial"/>
        <family val="2"/>
      </rPr>
      <t xml:space="preserve">: </t>
    </r>
    <r>
      <rPr>
        <sz val="10"/>
        <rFont val="DejaVu Sans"/>
        <family val="2"/>
      </rPr>
      <t>매그나칩반도체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아임닭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뉴스케일파워</t>
    </r>
  </si>
  <si>
    <t>파인우드프라이빗에쿼티</t>
  </si>
  <si>
    <t>모트프라이빗에쿼티</t>
  </si>
  <si>
    <t>드림스톤프라이빗에쿼티</t>
  </si>
  <si>
    <t>브이티아이파트너스</t>
  </si>
  <si>
    <t>프린시플캐피탈파트너스</t>
  </si>
  <si>
    <t>아이디지캐피탈파트너스코리아</t>
  </si>
  <si>
    <t>플로우파트너스</t>
  </si>
  <si>
    <t>블루닷파트너스</t>
  </si>
  <si>
    <t>더웰스인베스트먼트</t>
  </si>
  <si>
    <t>메티스프라이빗에쿼티</t>
  </si>
  <si>
    <t>씨제이엘파트너스</t>
  </si>
  <si>
    <t>에버마운트캐피탈매니지먼트</t>
  </si>
  <si>
    <t>하버브릭스파트너스</t>
  </si>
  <si>
    <t>천일프라이빗에쿼티</t>
  </si>
  <si>
    <t>뉴젠인베스트먼트</t>
  </si>
  <si>
    <t>지투지프라이빗에쿼티</t>
  </si>
  <si>
    <t>티비인베스트먼트</t>
  </si>
  <si>
    <t>케이엔케이파트너스</t>
  </si>
  <si>
    <t>코레이트자산운용</t>
  </si>
  <si>
    <t>베일리프라이빗에쿼티</t>
  </si>
  <si>
    <t>브이원프라이빗에쿼티</t>
  </si>
  <si>
    <t>피앤피인베스트먼트</t>
  </si>
  <si>
    <t>마이스터프라이빗에쿼티</t>
  </si>
  <si>
    <t>고릴라피이</t>
  </si>
  <si>
    <t>더터닝포인트</t>
  </si>
  <si>
    <t>오티엄캐피탈</t>
  </si>
  <si>
    <t>인커스캐피탈파트너스</t>
  </si>
  <si>
    <t>트라이던트프라이빗에쿼티</t>
  </si>
  <si>
    <t>신한캐피탈</t>
  </si>
  <si>
    <t>에임인베스트먼트</t>
  </si>
  <si>
    <t>로드스톤프라이빗에쿼티</t>
  </si>
  <si>
    <t>키움에프앤아이</t>
  </si>
  <si>
    <t>그리핀인베스트먼트</t>
  </si>
  <si>
    <t>브이원캐피탈파트너스</t>
  </si>
  <si>
    <t>피아이에이인베스트먼트파트너스</t>
  </si>
  <si>
    <t>더드림프라이빗에쿼티</t>
  </si>
  <si>
    <t>엠벤처투자</t>
  </si>
  <si>
    <t>와디즈파트너스</t>
  </si>
  <si>
    <t>브라이트스톤파트너스</t>
  </si>
  <si>
    <t>데일리파트너스</t>
  </si>
  <si>
    <t>그레이트스톤파트너스</t>
  </si>
  <si>
    <t>씨에이씨파트너스</t>
  </si>
  <si>
    <t>티케인베스트먼트</t>
  </si>
  <si>
    <t>비케이피엘자산운용</t>
  </si>
  <si>
    <t>스탠다드프라이빗에쿼티</t>
  </si>
  <si>
    <t>노버스파트너스</t>
  </si>
  <si>
    <t>아이엘씨에쿼티파트너스</t>
  </si>
  <si>
    <t>비스톤에쿼티파트너스</t>
  </si>
  <si>
    <t>포워드에퀴티파트너스</t>
  </si>
  <si>
    <t>에스에스피파이낸셜</t>
  </si>
  <si>
    <t>컴퍼니케이파트너스</t>
  </si>
  <si>
    <t>비엔케이투자증권</t>
  </si>
  <si>
    <t>인빅터스프라이빗에쿼티아시아</t>
  </si>
  <si>
    <t>오픈워터인베스트먼트</t>
  </si>
  <si>
    <t>쿨리지코너인베스트먼트</t>
  </si>
  <si>
    <t>에스오엘캐피탈파트너스</t>
  </si>
  <si>
    <t>제이스퀘어인베스트먼트</t>
  </si>
  <si>
    <t>피넛파트너스</t>
  </si>
  <si>
    <t>인마크에쿼티파트너스</t>
  </si>
  <si>
    <t>화인파트너스</t>
  </si>
  <si>
    <t>딥다이브파트너스</t>
  </si>
  <si>
    <t>에프티프라이빗에쿼티</t>
  </si>
  <si>
    <t>현대투자파트너스</t>
  </si>
  <si>
    <t>타임폴리오자산운용</t>
  </si>
  <si>
    <t>씨앤코어파트너스</t>
  </si>
  <si>
    <t>마그나인베스트먼트</t>
  </si>
  <si>
    <t>스틱벤처스</t>
  </si>
  <si>
    <t>트러스톤자산운용</t>
  </si>
  <si>
    <t>브이원씨</t>
  </si>
  <si>
    <t>로켓티어스</t>
  </si>
  <si>
    <t>티더블유에이</t>
  </si>
  <si>
    <t>엔엘씨파트너스</t>
  </si>
  <si>
    <t>우리금융에프앤아이</t>
  </si>
  <si>
    <t>티디엠프라이빗에쿼티</t>
  </si>
  <si>
    <t>펄사캐피탈매니지먼트</t>
  </si>
  <si>
    <t>퀸테사인베스트먼트</t>
  </si>
  <si>
    <t>에이치투지파트너스</t>
  </si>
  <si>
    <t>에스더블유케이매니지먼트</t>
  </si>
  <si>
    <t>엠제이엠인베스트먼트파트너스</t>
  </si>
  <si>
    <r>
      <rPr>
        <b/>
        <sz val="14"/>
        <color rgb="FF1F4E79"/>
        <rFont val="Arial"/>
        <family val="2"/>
      </rPr>
      <t>GP</t>
    </r>
    <r>
      <rPr>
        <b/>
        <sz val="14"/>
        <color rgb="FF1F4E79"/>
        <rFont val="DejaVu Sans"/>
        <family val="2"/>
      </rPr>
      <t xml:space="preserve">별 </t>
    </r>
    <r>
      <rPr>
        <b/>
        <sz val="14"/>
        <color rgb="FF1F4E79"/>
        <rFont val="Arial"/>
        <family val="2"/>
      </rPr>
      <t xml:space="preserve">PEF </t>
    </r>
    <r>
      <rPr>
        <b/>
        <sz val="14"/>
        <color rgb="FF1F4E79"/>
        <rFont val="DejaVu Sans"/>
        <family val="2"/>
      </rPr>
      <t>투자 상세내역</t>
    </r>
  </si>
  <si>
    <r>
      <rPr>
        <sz val="10"/>
        <color rgb="FF666666"/>
        <rFont val="Arial"/>
        <family val="2"/>
      </rPr>
      <t>21~24</t>
    </r>
    <r>
      <rPr>
        <sz val="10"/>
        <color rgb="FF666666"/>
        <rFont val="DejaVu Sans"/>
        <family val="2"/>
      </rPr>
      <t xml:space="preserve">년 투자경험 보유 </t>
    </r>
    <r>
      <rPr>
        <sz val="10"/>
        <color rgb="FF666666"/>
        <rFont val="Arial"/>
        <family val="2"/>
      </rPr>
      <t>GP</t>
    </r>
    <r>
      <rPr>
        <sz val="10"/>
        <color rgb="FF666666"/>
        <rFont val="DejaVu Sans"/>
        <family val="2"/>
      </rPr>
      <t xml:space="preserve">의 전체 </t>
    </r>
    <r>
      <rPr>
        <sz val="10"/>
        <color rgb="FF666666"/>
        <rFont val="Arial"/>
        <family val="2"/>
      </rPr>
      <t xml:space="preserve">PEF </t>
    </r>
    <r>
      <rPr>
        <sz val="10"/>
        <color rgb="FF666666"/>
        <rFont val="DejaVu Sans"/>
        <family val="2"/>
      </rPr>
      <t xml:space="preserve">설립 이력 </t>
    </r>
    <r>
      <rPr>
        <sz val="10"/>
        <color rgb="FF666666"/>
        <rFont val="Arial"/>
        <family val="2"/>
      </rPr>
      <t xml:space="preserve">(GP1/GP2/GP3 </t>
    </r>
    <r>
      <rPr>
        <sz val="10"/>
        <color rgb="FF666666"/>
        <rFont val="DejaVu Sans"/>
        <family val="2"/>
      </rPr>
      <t>분리</t>
    </r>
    <r>
      <rPr>
        <sz val="10"/>
        <color rgb="FF666666"/>
        <rFont val="Arial"/>
        <family val="2"/>
      </rPr>
      <t xml:space="preserve">, </t>
    </r>
    <r>
      <rPr>
        <sz val="10"/>
        <color rgb="FF666666"/>
        <rFont val="DejaVu Sans"/>
        <family val="2"/>
      </rPr>
      <t>약정총액 균등 분배 적용</t>
    </r>
    <r>
      <rPr>
        <sz val="10"/>
        <color rgb="FF666666"/>
        <rFont val="Arial"/>
        <family val="2"/>
      </rPr>
      <t>)</t>
    </r>
  </si>
  <si>
    <r>
      <rPr>
        <b/>
        <sz val="11"/>
        <color rgb="FFFFFFFF"/>
        <rFont val="Arial"/>
        <family val="2"/>
      </rPr>
      <t>GP</t>
    </r>
    <r>
      <rPr>
        <b/>
        <sz val="11"/>
        <color rgb="FFFFFFFF"/>
        <rFont val="DejaVu Sans"/>
        <family val="2"/>
      </rPr>
      <t>역할</t>
    </r>
  </si>
  <si>
    <r>
      <rPr>
        <b/>
        <sz val="11"/>
        <color rgb="FFFFFFFF"/>
        <rFont val="Arial"/>
        <family val="2"/>
      </rPr>
      <t>PEF</t>
    </r>
    <r>
      <rPr>
        <b/>
        <sz val="11"/>
        <color rgb="FFFFFFFF"/>
        <rFont val="DejaVu Sans"/>
        <family val="2"/>
      </rPr>
      <t>명</t>
    </r>
  </si>
  <si>
    <t>설립근거법률</t>
  </si>
  <si>
    <t>등록일</t>
  </si>
  <si>
    <r>
      <rPr>
        <b/>
        <sz val="11"/>
        <color rgb="FFFFFFFF"/>
        <rFont val="DejaVu Sans"/>
        <family val="2"/>
      </rPr>
      <t>총약정액</t>
    </r>
    <r>
      <rPr>
        <b/>
        <sz val="11"/>
        <color rgb="FFFFFFFF"/>
        <rFont val="Arial"/>
        <family val="2"/>
      </rPr>
      <t>(</t>
    </r>
    <r>
      <rPr>
        <b/>
        <sz val="11"/>
        <color rgb="FFFFFFFF"/>
        <rFont val="DejaVu Sans"/>
        <family val="2"/>
      </rPr>
      <t>억원</t>
    </r>
    <r>
      <rPr>
        <b/>
        <sz val="11"/>
        <color rgb="FFFFFFFF"/>
        <rFont val="Arial"/>
        <family val="2"/>
      </rPr>
      <t>)</t>
    </r>
  </si>
  <si>
    <r>
      <rPr>
        <b/>
        <sz val="11"/>
        <color rgb="FFFFFFFF"/>
        <rFont val="Arial"/>
        <family val="2"/>
      </rPr>
      <t>GP</t>
    </r>
    <r>
      <rPr>
        <b/>
        <sz val="11"/>
        <color rgb="FFFFFFFF"/>
        <rFont val="DejaVu Sans"/>
        <family val="2"/>
      </rPr>
      <t>수</t>
    </r>
  </si>
  <si>
    <r>
      <rPr>
        <b/>
        <sz val="11"/>
        <color rgb="FFFFFFFF"/>
        <rFont val="DejaVu Sans"/>
        <family val="2"/>
      </rPr>
      <t>약정분담액</t>
    </r>
    <r>
      <rPr>
        <b/>
        <sz val="11"/>
        <color rgb="FFFFFFFF"/>
        <rFont val="Arial"/>
        <family val="2"/>
      </rPr>
      <t>(</t>
    </r>
    <r>
      <rPr>
        <b/>
        <sz val="11"/>
        <color rgb="FFFFFFFF"/>
        <rFont val="DejaVu Sans"/>
        <family val="2"/>
      </rPr>
      <t>억원</t>
    </r>
    <r>
      <rPr>
        <b/>
        <sz val="11"/>
        <color rgb="FFFFFFFF"/>
        <rFont val="Arial"/>
        <family val="2"/>
      </rPr>
      <t>)</t>
    </r>
  </si>
  <si>
    <t>GP1</t>
  </si>
  <si>
    <r>
      <rPr>
        <sz val="10"/>
        <rFont val="DejaVu Sans"/>
        <family val="2"/>
      </rPr>
      <t>하베스트그린에프제</t>
    </r>
    <r>
      <rPr>
        <sz val="10"/>
        <rFont val="Arial"/>
        <family val="2"/>
      </rPr>
      <t>1</t>
    </r>
    <r>
      <rPr>
        <sz val="10"/>
        <rFont val="DejaVu Sans"/>
        <family val="2"/>
      </rPr>
      <t>호</t>
    </r>
  </si>
  <si>
    <t>자본시장법</t>
  </si>
  <si>
    <r>
      <rPr>
        <sz val="10"/>
        <rFont val="DejaVu Sans"/>
        <family val="2"/>
      </rPr>
      <t>하베스트블루아이제</t>
    </r>
    <r>
      <rPr>
        <sz val="10"/>
        <rFont val="Arial"/>
        <family val="2"/>
      </rPr>
      <t>1</t>
    </r>
    <r>
      <rPr>
        <sz val="10"/>
        <rFont val="DejaVu Sans"/>
        <family val="2"/>
      </rPr>
      <t>호</t>
    </r>
  </si>
  <si>
    <r>
      <rPr>
        <sz val="10"/>
        <rFont val="DejaVu Sans"/>
        <family val="2"/>
      </rPr>
      <t>하베스트블루아이제</t>
    </r>
    <r>
      <rPr>
        <sz val="10"/>
        <rFont val="Arial"/>
        <family val="2"/>
      </rPr>
      <t>2</t>
    </r>
    <r>
      <rPr>
        <sz val="10"/>
        <rFont val="DejaVu Sans"/>
        <family val="2"/>
      </rPr>
      <t>호</t>
    </r>
  </si>
  <si>
    <r>
      <rPr>
        <sz val="10"/>
        <rFont val="DejaVu Sans"/>
        <family val="2"/>
      </rPr>
      <t>하베스트챌린지제</t>
    </r>
    <r>
      <rPr>
        <sz val="10"/>
        <rFont val="Arial"/>
        <family val="2"/>
      </rPr>
      <t>1</t>
    </r>
    <r>
      <rPr>
        <sz val="10"/>
        <rFont val="DejaVu Sans"/>
        <family val="2"/>
      </rPr>
      <t>호</t>
    </r>
  </si>
  <si>
    <r>
      <rPr>
        <sz val="10"/>
        <rFont val="DejaVu Sans"/>
        <family val="2"/>
      </rPr>
      <t>하베스트챌린지제</t>
    </r>
    <r>
      <rPr>
        <sz val="10"/>
        <rFont val="Arial"/>
        <family val="2"/>
      </rPr>
      <t>2</t>
    </r>
    <r>
      <rPr>
        <sz val="10"/>
        <rFont val="DejaVu Sans"/>
        <family val="2"/>
      </rPr>
      <t>호</t>
    </r>
  </si>
  <si>
    <r>
      <rPr>
        <sz val="10"/>
        <rFont val="DejaVu Sans"/>
        <family val="2"/>
      </rPr>
      <t>고릴라미트</t>
    </r>
    <r>
      <rPr>
        <sz val="10"/>
        <rFont val="Arial"/>
        <family val="2"/>
      </rPr>
      <t>1</t>
    </r>
    <r>
      <rPr>
        <sz val="10"/>
        <rFont val="DejaVu Sans"/>
        <family val="2"/>
      </rPr>
      <t>호</t>
    </r>
  </si>
  <si>
    <r>
      <rPr>
        <sz val="10"/>
        <rFont val="DejaVu Sans"/>
        <family val="2"/>
      </rPr>
      <t>자본시장법</t>
    </r>
    <r>
      <rPr>
        <sz val="10"/>
        <rFont val="Arial"/>
        <family val="2"/>
      </rPr>
      <t>(</t>
    </r>
    <r>
      <rPr>
        <sz val="10"/>
        <rFont val="DejaVu Sans"/>
        <family val="2"/>
      </rPr>
      <t>창업벤처전문</t>
    </r>
    <r>
      <rPr>
        <sz val="10"/>
        <rFont val="Arial"/>
        <family val="2"/>
      </rPr>
      <t>)</t>
    </r>
  </si>
  <si>
    <r>
      <rPr>
        <sz val="10"/>
        <rFont val="DejaVu Sans"/>
        <family val="2"/>
      </rPr>
      <t>고릴라커먼타운</t>
    </r>
    <r>
      <rPr>
        <sz val="10"/>
        <rFont val="Arial"/>
        <family val="2"/>
      </rPr>
      <t>1</t>
    </r>
    <r>
      <rPr>
        <sz val="10"/>
        <rFont val="DejaVu Sans"/>
        <family val="2"/>
      </rPr>
      <t>호</t>
    </r>
  </si>
  <si>
    <t>고릴라인스퍼레이션</t>
  </si>
  <si>
    <r>
      <rPr>
        <sz val="10"/>
        <rFont val="DejaVu Sans"/>
        <family val="2"/>
      </rPr>
      <t>고릴라핀테크</t>
    </r>
    <r>
      <rPr>
        <sz val="10"/>
        <rFont val="Arial"/>
        <family val="2"/>
      </rPr>
      <t>1</t>
    </r>
    <r>
      <rPr>
        <sz val="10"/>
        <rFont val="DejaVu Sans"/>
        <family val="2"/>
      </rPr>
      <t>호</t>
    </r>
  </si>
  <si>
    <r>
      <rPr>
        <sz val="10"/>
        <rFont val="DejaVu Sans"/>
        <family val="2"/>
      </rPr>
      <t>고릴라핀테크</t>
    </r>
    <r>
      <rPr>
        <sz val="10"/>
        <rFont val="Arial"/>
        <family val="2"/>
      </rPr>
      <t>2</t>
    </r>
    <r>
      <rPr>
        <sz val="10"/>
        <rFont val="DejaVu Sans"/>
        <family val="2"/>
      </rPr>
      <t>호</t>
    </r>
  </si>
  <si>
    <r>
      <rPr>
        <sz val="10"/>
        <rFont val="DejaVu Sans"/>
        <family val="2"/>
      </rPr>
      <t>고릴라핀테크</t>
    </r>
    <r>
      <rPr>
        <sz val="10"/>
        <rFont val="Arial"/>
        <family val="2"/>
      </rPr>
      <t>3</t>
    </r>
    <r>
      <rPr>
        <sz val="10"/>
        <rFont val="DejaVu Sans"/>
        <family val="2"/>
      </rPr>
      <t>호</t>
    </r>
  </si>
  <si>
    <r>
      <rPr>
        <sz val="10"/>
        <rFont val="DejaVu Sans"/>
        <family val="2"/>
      </rPr>
      <t>골든루트제</t>
    </r>
    <r>
      <rPr>
        <sz val="10"/>
        <rFont val="Arial"/>
        <family val="2"/>
      </rPr>
      <t>1</t>
    </r>
    <r>
      <rPr>
        <sz val="10"/>
        <rFont val="DejaVu Sans"/>
        <family val="2"/>
      </rPr>
      <t>호</t>
    </r>
  </si>
  <si>
    <r>
      <rPr>
        <sz val="10"/>
        <rFont val="DejaVu Sans"/>
        <family val="2"/>
      </rPr>
      <t>골든루트제</t>
    </r>
    <r>
      <rPr>
        <sz val="10"/>
        <rFont val="Arial"/>
        <family val="2"/>
      </rPr>
      <t>2</t>
    </r>
    <r>
      <rPr>
        <sz val="10"/>
        <rFont val="DejaVu Sans"/>
        <family val="2"/>
      </rPr>
      <t>호창업벤처전문</t>
    </r>
  </si>
  <si>
    <t>GP2</t>
  </si>
  <si>
    <t>오티엄그래비티</t>
  </si>
  <si>
    <r>
      <rPr>
        <sz val="10"/>
        <rFont val="DejaVu Sans"/>
        <family val="2"/>
      </rPr>
      <t>그래비티리스타트</t>
    </r>
    <r>
      <rPr>
        <sz val="10"/>
        <rFont val="Arial"/>
        <family val="2"/>
      </rPr>
      <t>1</t>
    </r>
    <r>
      <rPr>
        <sz val="10"/>
        <rFont val="DejaVu Sans"/>
        <family val="2"/>
      </rPr>
      <t>호</t>
    </r>
  </si>
  <si>
    <t>그래비티피씨에이치</t>
  </si>
  <si>
    <r>
      <rPr>
        <sz val="10"/>
        <rFont val="DejaVu Sans"/>
        <family val="2"/>
      </rPr>
      <t>그래비티리스타트</t>
    </r>
    <r>
      <rPr>
        <sz val="10"/>
        <rFont val="Arial"/>
        <family val="2"/>
      </rPr>
      <t>2</t>
    </r>
    <r>
      <rPr>
        <sz val="10"/>
        <rFont val="DejaVu Sans"/>
        <family val="2"/>
      </rPr>
      <t>호</t>
    </r>
  </si>
  <si>
    <r>
      <rPr>
        <sz val="10"/>
        <rFont val="DejaVu Sans"/>
        <family val="2"/>
      </rPr>
      <t>그래비티알리스제</t>
    </r>
    <r>
      <rPr>
        <sz val="10"/>
        <rFont val="Arial"/>
        <family val="2"/>
      </rPr>
      <t>1</t>
    </r>
    <r>
      <rPr>
        <sz val="10"/>
        <rFont val="DejaVu Sans"/>
        <family val="2"/>
      </rPr>
      <t>호</t>
    </r>
  </si>
  <si>
    <t>비이피지에스신기술성장</t>
  </si>
  <si>
    <t>유암코그루기업재무안정</t>
  </si>
  <si>
    <r>
      <rPr>
        <sz val="10"/>
        <rFont val="DejaVu Sans"/>
        <family val="2"/>
      </rPr>
      <t>자본시장법</t>
    </r>
    <r>
      <rPr>
        <sz val="10"/>
        <rFont val="Arial"/>
        <family val="2"/>
      </rPr>
      <t>(</t>
    </r>
    <r>
      <rPr>
        <sz val="10"/>
        <rFont val="DejaVu Sans"/>
        <family val="2"/>
      </rPr>
      <t>재무안정</t>
    </r>
    <r>
      <rPr>
        <sz val="10"/>
        <rFont val="Arial"/>
        <family val="2"/>
      </rPr>
      <t>)</t>
    </r>
  </si>
  <si>
    <t>그루구조혁신기업재무안정</t>
  </si>
  <si>
    <r>
      <rPr>
        <sz val="10"/>
        <rFont val="DejaVu Sans"/>
        <family val="2"/>
      </rPr>
      <t>그리니치그린</t>
    </r>
    <r>
      <rPr>
        <sz val="10"/>
        <rFont val="Arial"/>
        <family val="2"/>
      </rPr>
      <t>1</t>
    </r>
    <r>
      <rPr>
        <sz val="10"/>
        <rFont val="DejaVu Sans"/>
        <family val="2"/>
      </rPr>
      <t>호</t>
    </r>
  </si>
  <si>
    <r>
      <rPr>
        <sz val="10"/>
        <rFont val="DejaVu Sans"/>
        <family val="2"/>
      </rPr>
      <t>그리니치이에스지</t>
    </r>
    <r>
      <rPr>
        <sz val="10"/>
        <rFont val="Arial"/>
        <family val="2"/>
      </rPr>
      <t>1</t>
    </r>
    <r>
      <rPr>
        <sz val="10"/>
        <rFont val="DejaVu Sans"/>
        <family val="2"/>
      </rPr>
      <t>호</t>
    </r>
  </si>
  <si>
    <r>
      <rPr>
        <sz val="10"/>
        <rFont val="DejaVu Sans"/>
        <family val="2"/>
      </rPr>
      <t>그리핀</t>
    </r>
    <r>
      <rPr>
        <sz val="10"/>
        <rFont val="Arial"/>
        <family val="2"/>
      </rPr>
      <t>1</t>
    </r>
    <r>
      <rPr>
        <sz val="10"/>
        <rFont val="DejaVu Sans"/>
        <family val="2"/>
      </rPr>
      <t>호</t>
    </r>
  </si>
  <si>
    <t>글랜우드크레딧제삼호</t>
  </si>
  <si>
    <t>글랜우드크레딧제이호</t>
  </si>
  <si>
    <t>글랜우드크레딧제일호</t>
  </si>
  <si>
    <t>글랜우드크레딧코리아제일호</t>
  </si>
  <si>
    <t>글랜우드코리아제이호</t>
  </si>
  <si>
    <t>글랜우드공동투자제오호</t>
  </si>
  <si>
    <t>케이엔피밸류업투자일호</t>
  </si>
  <si>
    <t>노버스크로스로드제일호</t>
  </si>
  <si>
    <r>
      <rPr>
        <sz val="10"/>
        <rFont val="DejaVu Sans"/>
        <family val="2"/>
      </rPr>
      <t>엔피씨비비아이제</t>
    </r>
    <r>
      <rPr>
        <sz val="10"/>
        <rFont val="Arial"/>
        <family val="2"/>
      </rPr>
      <t>1</t>
    </r>
    <r>
      <rPr>
        <sz val="10"/>
        <rFont val="DejaVu Sans"/>
        <family val="2"/>
      </rPr>
      <t>호</t>
    </r>
  </si>
  <si>
    <r>
      <rPr>
        <sz val="10"/>
        <rFont val="DejaVu Sans"/>
        <family val="2"/>
      </rPr>
      <t>엔피글로벌성장제</t>
    </r>
    <r>
      <rPr>
        <sz val="10"/>
        <rFont val="Arial"/>
        <family val="2"/>
      </rPr>
      <t>2</t>
    </r>
    <r>
      <rPr>
        <sz val="10"/>
        <rFont val="DejaVu Sans"/>
        <family val="2"/>
      </rPr>
      <t>호</t>
    </r>
  </si>
  <si>
    <r>
      <rPr>
        <sz val="10"/>
        <rFont val="DejaVu Sans"/>
        <family val="2"/>
      </rPr>
      <t>엔피글로벌성장제</t>
    </r>
    <r>
      <rPr>
        <sz val="10"/>
        <rFont val="Arial"/>
        <family val="2"/>
      </rPr>
      <t>3</t>
    </r>
    <r>
      <rPr>
        <sz val="10"/>
        <rFont val="DejaVu Sans"/>
        <family val="2"/>
      </rPr>
      <t>호</t>
    </r>
  </si>
  <si>
    <t>디비엔피성장</t>
  </si>
  <si>
    <r>
      <rPr>
        <sz val="10"/>
        <rFont val="DejaVu Sans"/>
        <family val="2"/>
      </rPr>
      <t>넥스트레벨제</t>
    </r>
    <r>
      <rPr>
        <sz val="10"/>
        <rFont val="Arial"/>
        <family val="2"/>
      </rPr>
      <t>1</t>
    </r>
    <r>
      <rPr>
        <sz val="10"/>
        <rFont val="DejaVu Sans"/>
        <family val="2"/>
      </rPr>
      <t>호</t>
    </r>
  </si>
  <si>
    <r>
      <rPr>
        <sz val="10"/>
        <rFont val="DejaVu Sans"/>
        <family val="2"/>
      </rPr>
      <t>엔피성장제</t>
    </r>
    <r>
      <rPr>
        <sz val="10"/>
        <rFont val="Arial"/>
        <family val="2"/>
      </rPr>
      <t>8</t>
    </r>
    <r>
      <rPr>
        <sz val="10"/>
        <rFont val="DejaVu Sans"/>
        <family val="2"/>
      </rPr>
      <t>호</t>
    </r>
  </si>
  <si>
    <r>
      <rPr>
        <sz val="10"/>
        <rFont val="DejaVu Sans"/>
        <family val="2"/>
      </rPr>
      <t>엔피성장제</t>
    </r>
    <r>
      <rPr>
        <sz val="10"/>
        <rFont val="Arial"/>
        <family val="2"/>
      </rPr>
      <t>9</t>
    </r>
    <r>
      <rPr>
        <sz val="10"/>
        <rFont val="DejaVu Sans"/>
        <family val="2"/>
      </rPr>
      <t>호</t>
    </r>
  </si>
  <si>
    <r>
      <rPr>
        <sz val="10"/>
        <rFont val="DejaVu Sans"/>
        <family val="2"/>
      </rPr>
      <t>엔피씨에이씨성장제</t>
    </r>
    <r>
      <rPr>
        <sz val="10"/>
        <rFont val="Arial"/>
        <family val="2"/>
      </rPr>
      <t>1</t>
    </r>
    <r>
      <rPr>
        <sz val="10"/>
        <rFont val="DejaVu Sans"/>
        <family val="2"/>
      </rPr>
      <t>호</t>
    </r>
  </si>
  <si>
    <r>
      <rPr>
        <sz val="10"/>
        <rFont val="DejaVu Sans"/>
        <family val="2"/>
      </rPr>
      <t>노앤그린이에스지제</t>
    </r>
    <r>
      <rPr>
        <sz val="10"/>
        <rFont val="Arial"/>
        <family val="2"/>
      </rPr>
      <t>2</t>
    </r>
    <r>
      <rPr>
        <sz val="10"/>
        <rFont val="DejaVu Sans"/>
        <family val="2"/>
      </rPr>
      <t>호</t>
    </r>
  </si>
  <si>
    <r>
      <rPr>
        <sz val="10"/>
        <rFont val="DejaVu Sans"/>
        <family val="2"/>
      </rPr>
      <t>로터스노앤그린이에스지제</t>
    </r>
    <r>
      <rPr>
        <sz val="10"/>
        <rFont val="Arial"/>
        <family val="2"/>
      </rPr>
      <t>3</t>
    </r>
    <r>
      <rPr>
        <sz val="10"/>
        <rFont val="DejaVu Sans"/>
        <family val="2"/>
      </rPr>
      <t>호</t>
    </r>
  </si>
  <si>
    <r>
      <rPr>
        <sz val="10"/>
        <rFont val="DejaVu Sans"/>
        <family val="2"/>
      </rPr>
      <t>노앤성장제</t>
    </r>
    <r>
      <rPr>
        <sz val="10"/>
        <rFont val="Arial"/>
        <family val="2"/>
      </rPr>
      <t>11</t>
    </r>
    <r>
      <rPr>
        <sz val="10"/>
        <rFont val="DejaVu Sans"/>
        <family val="2"/>
      </rPr>
      <t>호</t>
    </r>
  </si>
  <si>
    <r>
      <rPr>
        <sz val="10"/>
        <rFont val="DejaVu Sans"/>
        <family val="2"/>
      </rPr>
      <t>노앤자원순환제</t>
    </r>
    <r>
      <rPr>
        <sz val="10"/>
        <rFont val="Arial"/>
        <family val="2"/>
      </rPr>
      <t>1</t>
    </r>
    <r>
      <rPr>
        <sz val="10"/>
        <rFont val="DejaVu Sans"/>
        <family val="2"/>
      </rPr>
      <t>호</t>
    </r>
  </si>
  <si>
    <r>
      <rPr>
        <sz val="10"/>
        <rFont val="DejaVu Sans"/>
        <family val="2"/>
      </rPr>
      <t>천일노앤그린사이클제</t>
    </r>
    <r>
      <rPr>
        <sz val="10"/>
        <rFont val="Arial"/>
        <family val="2"/>
      </rPr>
      <t>1</t>
    </r>
    <r>
      <rPr>
        <sz val="10"/>
        <rFont val="DejaVu Sans"/>
        <family val="2"/>
      </rPr>
      <t>호</t>
    </r>
  </si>
  <si>
    <t>노틱그린이노베이션이에스지</t>
  </si>
  <si>
    <r>
      <rPr>
        <sz val="10"/>
        <rFont val="DejaVu Sans"/>
        <family val="2"/>
      </rPr>
      <t>노틱에이스제</t>
    </r>
    <r>
      <rPr>
        <sz val="10"/>
        <rFont val="Arial"/>
        <family val="2"/>
      </rPr>
      <t>5</t>
    </r>
    <r>
      <rPr>
        <sz val="10"/>
        <rFont val="DejaVu Sans"/>
        <family val="2"/>
      </rPr>
      <t>호</t>
    </r>
  </si>
  <si>
    <r>
      <rPr>
        <sz val="10"/>
        <rFont val="DejaVu Sans"/>
        <family val="2"/>
      </rPr>
      <t>노틱엔피제</t>
    </r>
    <r>
      <rPr>
        <sz val="10"/>
        <rFont val="Arial"/>
        <family val="2"/>
      </rPr>
      <t>11</t>
    </r>
    <r>
      <rPr>
        <sz val="10"/>
        <rFont val="DejaVu Sans"/>
        <family val="2"/>
      </rPr>
      <t>호</t>
    </r>
  </si>
  <si>
    <t>노틱피티에이제조혁신</t>
  </si>
  <si>
    <t>노틱성장엠앤에이</t>
  </si>
  <si>
    <r>
      <rPr>
        <sz val="10"/>
        <rFont val="DejaVu Sans"/>
        <family val="2"/>
      </rPr>
      <t>신한노틱제</t>
    </r>
    <r>
      <rPr>
        <sz val="10"/>
        <rFont val="Arial"/>
        <family val="2"/>
      </rPr>
      <t>1</t>
    </r>
    <r>
      <rPr>
        <sz val="10"/>
        <rFont val="DejaVu Sans"/>
        <family val="2"/>
      </rPr>
      <t>호</t>
    </r>
  </si>
  <si>
    <r>
      <rPr>
        <sz val="10"/>
        <rFont val="DejaVu Sans"/>
        <family val="2"/>
      </rPr>
      <t>한투노틱반도체제</t>
    </r>
    <r>
      <rPr>
        <sz val="10"/>
        <rFont val="Arial"/>
        <family val="2"/>
      </rPr>
      <t>1</t>
    </r>
    <r>
      <rPr>
        <sz val="10"/>
        <rFont val="DejaVu Sans"/>
        <family val="2"/>
      </rPr>
      <t>호</t>
    </r>
  </si>
  <si>
    <t>어드밴스</t>
  </si>
  <si>
    <r>
      <rPr>
        <sz val="10"/>
        <rFont val="DejaVu Sans"/>
        <family val="2"/>
      </rPr>
      <t>유암코노틱반도체제</t>
    </r>
    <r>
      <rPr>
        <sz val="10"/>
        <rFont val="Arial"/>
        <family val="2"/>
      </rPr>
      <t>1</t>
    </r>
    <r>
      <rPr>
        <sz val="10"/>
        <rFont val="DejaVu Sans"/>
        <family val="2"/>
      </rPr>
      <t>호</t>
    </r>
  </si>
  <si>
    <r>
      <rPr>
        <sz val="10"/>
        <rFont val="DejaVu Sans"/>
        <family val="2"/>
      </rPr>
      <t>엔에이치나우농식품</t>
    </r>
    <r>
      <rPr>
        <sz val="10"/>
        <rFont val="Arial"/>
        <family val="2"/>
      </rPr>
      <t>1</t>
    </r>
    <r>
      <rPr>
        <sz val="10"/>
        <rFont val="DejaVu Sans"/>
        <family val="2"/>
      </rPr>
      <t>호</t>
    </r>
  </si>
  <si>
    <r>
      <rPr>
        <sz val="10"/>
        <rFont val="DejaVu Sans"/>
        <family val="2"/>
      </rPr>
      <t>엔에이치나우농식품</t>
    </r>
    <r>
      <rPr>
        <sz val="10"/>
        <rFont val="Arial"/>
        <family val="2"/>
      </rPr>
      <t>2</t>
    </r>
    <r>
      <rPr>
        <sz val="10"/>
        <rFont val="DejaVu Sans"/>
        <family val="2"/>
      </rPr>
      <t>호</t>
    </r>
  </si>
  <si>
    <t>범농협애그테크상생혁신</t>
  </si>
  <si>
    <t>희망농업혁신</t>
  </si>
  <si>
    <t>뉴레이크그로쓰캐피탈파트너스</t>
  </si>
  <si>
    <r>
      <rPr>
        <sz val="10"/>
        <rFont val="DejaVu Sans"/>
        <family val="2"/>
      </rPr>
      <t>뉴레이크그로쓰캐피탈파트너스제</t>
    </r>
    <r>
      <rPr>
        <sz val="10"/>
        <rFont val="Arial"/>
        <family val="2"/>
      </rPr>
      <t>2</t>
    </r>
    <r>
      <rPr>
        <sz val="10"/>
        <rFont val="DejaVu Sans"/>
        <family val="2"/>
      </rPr>
      <t>호</t>
    </r>
  </si>
  <si>
    <r>
      <rPr>
        <sz val="10"/>
        <rFont val="DejaVu Sans"/>
        <family val="2"/>
      </rPr>
      <t>뉴레이크엔지니어링파츠제</t>
    </r>
    <r>
      <rPr>
        <sz val="10"/>
        <rFont val="Arial"/>
        <family val="2"/>
      </rPr>
      <t>1</t>
    </r>
    <r>
      <rPr>
        <sz val="10"/>
        <rFont val="DejaVu Sans"/>
        <family val="2"/>
      </rPr>
      <t>호</t>
    </r>
  </si>
  <si>
    <t>뉴레이크글로벌헬스케이제삼호</t>
  </si>
  <si>
    <r>
      <rPr>
        <sz val="10"/>
        <rFont val="DejaVu Sans"/>
        <family val="2"/>
      </rPr>
      <t>코리아반도체소부장제</t>
    </r>
    <r>
      <rPr>
        <sz val="10"/>
        <rFont val="Arial"/>
        <family val="2"/>
      </rPr>
      <t>1</t>
    </r>
    <r>
      <rPr>
        <sz val="10"/>
        <rFont val="DejaVu Sans"/>
        <family val="2"/>
      </rPr>
      <t>호</t>
    </r>
  </si>
  <si>
    <t>뉴아크제이십사의일호</t>
  </si>
  <si>
    <t>뉴젠스카이</t>
  </si>
  <si>
    <t>뉴젠에버그린</t>
  </si>
  <si>
    <t>뉴젠루미나</t>
  </si>
  <si>
    <r>
      <rPr>
        <sz val="10"/>
        <rFont val="DejaVu Sans"/>
        <family val="2"/>
      </rPr>
      <t>코리아그로우쓰오퍼튜니티제</t>
    </r>
    <r>
      <rPr>
        <sz val="10"/>
        <rFont val="Arial"/>
        <family val="2"/>
      </rPr>
      <t>1</t>
    </r>
    <r>
      <rPr>
        <sz val="10"/>
        <rFont val="DejaVu Sans"/>
        <family val="2"/>
      </rPr>
      <t>호</t>
    </r>
  </si>
  <si>
    <r>
      <rPr>
        <sz val="10"/>
        <rFont val="DejaVu Sans"/>
        <family val="2"/>
      </rPr>
      <t>아스트라제</t>
    </r>
    <r>
      <rPr>
        <sz val="10"/>
        <rFont val="Arial"/>
        <family val="2"/>
      </rPr>
      <t>1</t>
    </r>
    <r>
      <rPr>
        <sz val="10"/>
        <rFont val="DejaVu Sans"/>
        <family val="2"/>
      </rPr>
      <t>호</t>
    </r>
  </si>
  <si>
    <r>
      <rPr>
        <sz val="10"/>
        <rFont val="DejaVu Sans"/>
        <family val="2"/>
      </rPr>
      <t>아스트라제</t>
    </r>
    <r>
      <rPr>
        <sz val="10"/>
        <rFont val="Arial"/>
        <family val="2"/>
      </rPr>
      <t>2</t>
    </r>
    <r>
      <rPr>
        <sz val="10"/>
        <rFont val="DejaVu Sans"/>
        <family val="2"/>
      </rPr>
      <t>호</t>
    </r>
  </si>
  <si>
    <t>다올프라이빗에쿼티슈피리어제일호</t>
  </si>
  <si>
    <r>
      <rPr>
        <sz val="10"/>
        <rFont val="DejaVu Sans"/>
        <family val="2"/>
      </rPr>
      <t>아스트라제</t>
    </r>
    <r>
      <rPr>
        <sz val="10"/>
        <rFont val="Arial"/>
        <family val="2"/>
      </rPr>
      <t>3</t>
    </r>
    <r>
      <rPr>
        <sz val="10"/>
        <rFont val="DejaVu Sans"/>
        <family val="2"/>
      </rPr>
      <t>호</t>
    </r>
  </si>
  <si>
    <t>다윈그린패키징</t>
  </si>
  <si>
    <t>다윈스마트컨스트럭션</t>
  </si>
  <si>
    <r>
      <rPr>
        <sz val="10"/>
        <rFont val="DejaVu Sans"/>
        <family val="2"/>
      </rPr>
      <t>우리다이노제</t>
    </r>
    <r>
      <rPr>
        <sz val="10"/>
        <rFont val="Arial"/>
        <family val="2"/>
      </rPr>
      <t>1</t>
    </r>
    <r>
      <rPr>
        <sz val="10"/>
        <rFont val="DejaVu Sans"/>
        <family val="2"/>
      </rPr>
      <t>호</t>
    </r>
  </si>
  <si>
    <r>
      <rPr>
        <sz val="10"/>
        <rFont val="DejaVu Sans"/>
        <family val="2"/>
      </rPr>
      <t>엔에이치우리다이노병행투자제</t>
    </r>
    <r>
      <rPr>
        <sz val="10"/>
        <rFont val="Arial"/>
        <family val="2"/>
      </rPr>
      <t>2</t>
    </r>
    <r>
      <rPr>
        <sz val="10"/>
        <rFont val="DejaVu Sans"/>
        <family val="2"/>
      </rPr>
      <t>호</t>
    </r>
  </si>
  <si>
    <t>다토즈에이티유글로벌사스기술성장</t>
  </si>
  <si>
    <t>디지털뉴딜카파</t>
  </si>
  <si>
    <r>
      <rPr>
        <sz val="10"/>
        <rFont val="DejaVu Sans"/>
        <family val="2"/>
      </rPr>
      <t>성장포트폴리오제</t>
    </r>
    <r>
      <rPr>
        <sz val="10"/>
        <rFont val="Arial"/>
        <family val="2"/>
      </rPr>
      <t>1</t>
    </r>
    <r>
      <rPr>
        <sz val="10"/>
        <rFont val="DejaVu Sans"/>
        <family val="2"/>
      </rPr>
      <t>호</t>
    </r>
  </si>
  <si>
    <r>
      <rPr>
        <sz val="10"/>
        <rFont val="DejaVu Sans"/>
        <family val="2"/>
      </rPr>
      <t>대신코인베스트먼트</t>
    </r>
    <r>
      <rPr>
        <sz val="10"/>
        <rFont val="Arial"/>
        <family val="2"/>
      </rPr>
      <t>2017</t>
    </r>
  </si>
  <si>
    <r>
      <rPr>
        <sz val="10"/>
        <rFont val="DejaVu Sans"/>
        <family val="2"/>
      </rPr>
      <t>대신에스케이에스이노베이션제</t>
    </r>
    <r>
      <rPr>
        <sz val="10"/>
        <rFont val="Arial"/>
        <family val="2"/>
      </rPr>
      <t>2</t>
    </r>
    <r>
      <rPr>
        <sz val="10"/>
        <rFont val="DejaVu Sans"/>
        <family val="2"/>
      </rPr>
      <t>호</t>
    </r>
  </si>
  <si>
    <t>대신캑터스바이아웃</t>
  </si>
  <si>
    <r>
      <rPr>
        <sz val="10"/>
        <rFont val="DejaVu Sans"/>
        <family val="2"/>
      </rPr>
      <t>대신엡실론제</t>
    </r>
    <r>
      <rPr>
        <sz val="10"/>
        <rFont val="Arial"/>
        <family val="2"/>
      </rPr>
      <t>1</t>
    </r>
    <r>
      <rPr>
        <sz val="10"/>
        <rFont val="DejaVu Sans"/>
        <family val="2"/>
      </rPr>
      <t>호</t>
    </r>
  </si>
  <si>
    <t>대신피에스모빌리티</t>
  </si>
  <si>
    <r>
      <rPr>
        <sz val="10"/>
        <rFont val="DejaVu Sans"/>
        <family val="2"/>
      </rPr>
      <t>대신코인베스트먼트</t>
    </r>
    <r>
      <rPr>
        <sz val="10"/>
        <rFont val="Arial"/>
        <family val="2"/>
      </rPr>
      <t>2022</t>
    </r>
    <r>
      <rPr>
        <sz val="10"/>
        <rFont val="DejaVu Sans"/>
        <family val="2"/>
      </rPr>
      <t>제</t>
    </r>
    <r>
      <rPr>
        <sz val="10"/>
        <rFont val="Arial"/>
        <family val="2"/>
      </rPr>
      <t>2</t>
    </r>
    <r>
      <rPr>
        <sz val="10"/>
        <rFont val="DejaVu Sans"/>
        <family val="2"/>
      </rPr>
      <t>호</t>
    </r>
  </si>
  <si>
    <r>
      <rPr>
        <sz val="10"/>
        <rFont val="DejaVu Sans"/>
        <family val="2"/>
      </rPr>
      <t>대신그로쓰캡</t>
    </r>
    <r>
      <rPr>
        <sz val="10"/>
        <rFont val="Arial"/>
        <family val="2"/>
      </rPr>
      <t>2024</t>
    </r>
  </si>
  <si>
    <t>드림하이전문</t>
  </si>
  <si>
    <t>더블유더블유지중소중견기업성장지원</t>
  </si>
  <si>
    <t>더블유더블유지그린뉴딜</t>
  </si>
  <si>
    <r>
      <rPr>
        <sz val="10"/>
        <rFont val="DejaVu Sans"/>
        <family val="2"/>
      </rPr>
      <t>더블유제이제</t>
    </r>
    <r>
      <rPr>
        <sz val="10"/>
        <rFont val="Arial"/>
        <family val="2"/>
      </rPr>
      <t>1</t>
    </r>
    <r>
      <rPr>
        <sz val="10"/>
        <rFont val="DejaVu Sans"/>
        <family val="2"/>
      </rPr>
      <t>호</t>
    </r>
  </si>
  <si>
    <t>크립톤</t>
  </si>
  <si>
    <r>
      <rPr>
        <sz val="10"/>
        <rFont val="DejaVu Sans"/>
        <family val="2"/>
      </rPr>
      <t>더시드핀테크유나이티드</t>
    </r>
    <r>
      <rPr>
        <sz val="10"/>
        <rFont val="Arial"/>
        <family val="2"/>
      </rPr>
      <t>1</t>
    </r>
    <r>
      <rPr>
        <sz val="10"/>
        <rFont val="DejaVu Sans"/>
        <family val="2"/>
      </rPr>
      <t>호</t>
    </r>
  </si>
  <si>
    <r>
      <rPr>
        <sz val="10"/>
        <rFont val="DejaVu Sans"/>
        <family val="2"/>
      </rPr>
      <t>더시드핀테크유나이티드</t>
    </r>
    <r>
      <rPr>
        <sz val="10"/>
        <rFont val="Arial"/>
        <family val="2"/>
      </rPr>
      <t>2</t>
    </r>
    <r>
      <rPr>
        <sz val="10"/>
        <rFont val="DejaVu Sans"/>
        <family val="2"/>
      </rPr>
      <t>호</t>
    </r>
  </si>
  <si>
    <t>더웰스메티스제일호</t>
  </si>
  <si>
    <t>케이디비오픈이노베이션제이호</t>
  </si>
  <si>
    <t>티피포스코신성장</t>
  </si>
  <si>
    <t>더함그린에너지</t>
  </si>
  <si>
    <t>베스핀그린케미칼</t>
  </si>
  <si>
    <t>자이언트</t>
  </si>
  <si>
    <r>
      <rPr>
        <sz val="10"/>
        <rFont val="DejaVu Sans"/>
        <family val="2"/>
      </rPr>
      <t>데일리바이오헬스케어</t>
    </r>
    <r>
      <rPr>
        <sz val="10"/>
        <rFont val="Arial"/>
        <family val="2"/>
      </rPr>
      <t>6</t>
    </r>
    <r>
      <rPr>
        <sz val="10"/>
        <rFont val="DejaVu Sans"/>
        <family val="2"/>
      </rPr>
      <t>호창업벤처전문</t>
    </r>
  </si>
  <si>
    <r>
      <rPr>
        <sz val="10"/>
        <rFont val="DejaVu Sans"/>
        <family val="2"/>
      </rPr>
      <t>데일리파운틴헤드프로젝트</t>
    </r>
    <r>
      <rPr>
        <sz val="10"/>
        <rFont val="Arial"/>
        <family val="2"/>
      </rPr>
      <t>3</t>
    </r>
    <r>
      <rPr>
        <sz val="10"/>
        <rFont val="DejaVu Sans"/>
        <family val="2"/>
      </rPr>
      <t>호</t>
    </r>
  </si>
  <si>
    <t>엔브이메자닌그로쓰에쿼티</t>
  </si>
  <si>
    <t>엔브이글로벌코리아메자닌</t>
  </si>
  <si>
    <t>엔브이메자닌플러스</t>
  </si>
  <si>
    <r>
      <rPr>
        <sz val="10"/>
        <rFont val="DejaVu Sans"/>
        <family val="2"/>
      </rPr>
      <t>엘케이디</t>
    </r>
    <r>
      <rPr>
        <sz val="10"/>
        <rFont val="Arial"/>
        <family val="2"/>
      </rPr>
      <t>1</t>
    </r>
    <r>
      <rPr>
        <sz val="10"/>
        <rFont val="DejaVu Sans"/>
        <family val="2"/>
      </rPr>
      <t>호</t>
    </r>
  </si>
  <si>
    <r>
      <rPr>
        <sz val="10"/>
        <rFont val="DejaVu Sans"/>
        <family val="2"/>
      </rPr>
      <t>드림스톤바이오</t>
    </r>
    <r>
      <rPr>
        <sz val="10"/>
        <rFont val="Arial"/>
        <family val="2"/>
      </rPr>
      <t>1</t>
    </r>
    <r>
      <rPr>
        <sz val="10"/>
        <rFont val="DejaVu Sans"/>
        <family val="2"/>
      </rPr>
      <t>호창업벤처전문</t>
    </r>
  </si>
  <si>
    <r>
      <rPr>
        <sz val="10"/>
        <rFont val="DejaVu Sans"/>
        <family val="2"/>
      </rPr>
      <t>드림스톤이에스지제</t>
    </r>
    <r>
      <rPr>
        <sz val="10"/>
        <rFont val="Arial"/>
        <family val="2"/>
      </rPr>
      <t>1</t>
    </r>
    <r>
      <rPr>
        <sz val="10"/>
        <rFont val="DejaVu Sans"/>
        <family val="2"/>
      </rPr>
      <t>호</t>
    </r>
  </si>
  <si>
    <t>코리아바이오유니콘창업벤처전문</t>
  </si>
  <si>
    <r>
      <rPr>
        <sz val="10"/>
        <rFont val="DejaVu Sans"/>
        <family val="2"/>
      </rPr>
      <t>드림스톤아이씨티제</t>
    </r>
    <r>
      <rPr>
        <sz val="10"/>
        <rFont val="Arial"/>
        <family val="2"/>
      </rPr>
      <t>1</t>
    </r>
    <r>
      <rPr>
        <sz val="10"/>
        <rFont val="DejaVu Sans"/>
        <family val="2"/>
      </rPr>
      <t>호</t>
    </r>
  </si>
  <si>
    <r>
      <rPr>
        <sz val="10"/>
        <rFont val="DejaVu Sans"/>
        <family val="2"/>
      </rPr>
      <t>드림스톤에이비에이션제</t>
    </r>
    <r>
      <rPr>
        <sz val="10"/>
        <rFont val="Arial"/>
        <family val="2"/>
      </rPr>
      <t>1</t>
    </r>
    <r>
      <rPr>
        <sz val="10"/>
        <rFont val="DejaVu Sans"/>
        <family val="2"/>
      </rPr>
      <t>호</t>
    </r>
  </si>
  <si>
    <r>
      <rPr>
        <sz val="10"/>
        <rFont val="DejaVu Sans"/>
        <family val="2"/>
      </rPr>
      <t>디비성장제</t>
    </r>
    <r>
      <rPr>
        <sz val="10"/>
        <rFont val="Arial"/>
        <family val="2"/>
      </rPr>
      <t>2</t>
    </r>
    <r>
      <rPr>
        <sz val="10"/>
        <rFont val="DejaVu Sans"/>
        <family val="2"/>
      </rPr>
      <t>호</t>
    </r>
  </si>
  <si>
    <t>디에스게임체인저아이티</t>
  </si>
  <si>
    <t>디에스뉴그린</t>
  </si>
  <si>
    <t>오픈워터디에스에코그린창업벤처전문경영참여형</t>
  </si>
  <si>
    <r>
      <rPr>
        <sz val="10"/>
        <rFont val="DejaVu Sans"/>
        <family val="2"/>
      </rPr>
      <t>디에스피이제</t>
    </r>
    <r>
      <rPr>
        <sz val="10"/>
        <rFont val="Arial"/>
        <family val="2"/>
      </rPr>
      <t>1</t>
    </r>
    <r>
      <rPr>
        <sz val="10"/>
        <rFont val="DejaVu Sans"/>
        <family val="2"/>
      </rPr>
      <t>호</t>
    </r>
  </si>
  <si>
    <t>디에스피이알파</t>
  </si>
  <si>
    <t>디에스피이베타</t>
  </si>
  <si>
    <t>제이커브디케이기관전용</t>
  </si>
  <si>
    <t>디티알</t>
  </si>
  <si>
    <t>디티알헬스케어</t>
  </si>
  <si>
    <t>헬스케어성장지원창업벤처전문</t>
  </si>
  <si>
    <t>라이프밸류업</t>
  </si>
  <si>
    <t>콘텐츠성장창업벤처전문</t>
  </si>
  <si>
    <r>
      <rPr>
        <sz val="10"/>
        <rFont val="DejaVu Sans"/>
        <family val="2"/>
      </rPr>
      <t>딥다이브</t>
    </r>
    <r>
      <rPr>
        <sz val="10"/>
        <rFont val="Arial"/>
        <family val="2"/>
      </rPr>
      <t>2024</t>
    </r>
  </si>
  <si>
    <r>
      <rPr>
        <sz val="10"/>
        <rFont val="DejaVu Sans"/>
        <family val="2"/>
      </rPr>
      <t>라데팡스파트너스제</t>
    </r>
    <r>
      <rPr>
        <sz val="10"/>
        <rFont val="Arial"/>
        <family val="2"/>
      </rPr>
      <t>1</t>
    </r>
    <r>
      <rPr>
        <sz val="10"/>
        <rFont val="DejaVu Sans"/>
        <family val="2"/>
      </rPr>
      <t>호</t>
    </r>
  </si>
  <si>
    <t>아이젠라이노스</t>
  </si>
  <si>
    <r>
      <rPr>
        <sz val="10"/>
        <rFont val="DejaVu Sans"/>
        <family val="2"/>
      </rPr>
      <t>에이투파트너스라이노스제</t>
    </r>
    <r>
      <rPr>
        <sz val="10"/>
        <rFont val="Arial"/>
        <family val="2"/>
      </rPr>
      <t>1</t>
    </r>
    <r>
      <rPr>
        <sz val="10"/>
        <rFont val="DejaVu Sans"/>
        <family val="2"/>
      </rPr>
      <t>호</t>
    </r>
  </si>
  <si>
    <r>
      <rPr>
        <sz val="10"/>
        <rFont val="DejaVu Sans"/>
        <family val="2"/>
      </rPr>
      <t>라이노스</t>
    </r>
    <r>
      <rPr>
        <sz val="10"/>
        <rFont val="Arial"/>
        <family val="2"/>
      </rPr>
      <t>2023</t>
    </r>
    <r>
      <rPr>
        <sz val="10"/>
        <rFont val="DejaVu Sans"/>
        <family val="2"/>
      </rPr>
      <t>의</t>
    </r>
    <r>
      <rPr>
        <sz val="10"/>
        <rFont val="Arial"/>
        <family val="2"/>
      </rPr>
      <t>1</t>
    </r>
    <r>
      <rPr>
        <sz val="10"/>
        <rFont val="DejaVu Sans"/>
        <family val="2"/>
      </rPr>
      <t>호</t>
    </r>
  </si>
  <si>
    <t>큐리어스라이노스볼티지제일차기관전용</t>
  </si>
  <si>
    <t>랜턴그린에너지제일호</t>
  </si>
  <si>
    <r>
      <rPr>
        <sz val="10"/>
        <rFont val="DejaVu Sans"/>
        <family val="2"/>
      </rPr>
      <t>레버런트프론티어</t>
    </r>
    <r>
      <rPr>
        <sz val="10"/>
        <rFont val="Arial"/>
        <family val="2"/>
      </rPr>
      <t>2</t>
    </r>
    <r>
      <rPr>
        <sz val="10"/>
        <rFont val="DejaVu Sans"/>
        <family val="2"/>
      </rPr>
      <t>호창업벤처전문</t>
    </r>
  </si>
  <si>
    <r>
      <rPr>
        <sz val="10"/>
        <rFont val="DejaVu Sans"/>
        <family val="2"/>
      </rPr>
      <t>레버런트호라이즌</t>
    </r>
    <r>
      <rPr>
        <sz val="10"/>
        <rFont val="Arial"/>
        <family val="2"/>
      </rPr>
      <t>1</t>
    </r>
    <r>
      <rPr>
        <sz val="10"/>
        <rFont val="DejaVu Sans"/>
        <family val="2"/>
      </rPr>
      <t>호창업벤처전문</t>
    </r>
  </si>
  <si>
    <r>
      <rPr>
        <sz val="10"/>
        <rFont val="DejaVu Sans"/>
        <family val="2"/>
      </rPr>
      <t>레버런트프론티어</t>
    </r>
    <r>
      <rPr>
        <sz val="10"/>
        <rFont val="Arial"/>
        <family val="2"/>
      </rPr>
      <t>3</t>
    </r>
    <r>
      <rPr>
        <sz val="10"/>
        <rFont val="DejaVu Sans"/>
        <family val="2"/>
      </rPr>
      <t>호창업벤처전문</t>
    </r>
  </si>
  <si>
    <r>
      <rPr>
        <sz val="10"/>
        <rFont val="DejaVu Sans"/>
        <family val="2"/>
      </rPr>
      <t>레버런트프론티어</t>
    </r>
    <r>
      <rPr>
        <sz val="10"/>
        <rFont val="Arial"/>
        <family val="2"/>
      </rPr>
      <t>4</t>
    </r>
    <r>
      <rPr>
        <sz val="10"/>
        <rFont val="DejaVu Sans"/>
        <family val="2"/>
      </rPr>
      <t>호창업벤처전문</t>
    </r>
  </si>
  <si>
    <t>리얼맥코이제일호</t>
  </si>
  <si>
    <t>리얼맥코이제이호</t>
  </si>
  <si>
    <t>레이크브릿지제팔호</t>
  </si>
  <si>
    <r>
      <rPr>
        <sz val="10"/>
        <rFont val="DejaVu Sans"/>
        <family val="2"/>
      </rPr>
      <t>로드스톤제</t>
    </r>
    <r>
      <rPr>
        <sz val="10"/>
        <rFont val="Arial"/>
        <family val="2"/>
      </rPr>
      <t>2</t>
    </r>
    <r>
      <rPr>
        <sz val="10"/>
        <rFont val="DejaVu Sans"/>
        <family val="2"/>
      </rPr>
      <t>호창업벤처전문</t>
    </r>
  </si>
  <si>
    <r>
      <rPr>
        <sz val="10"/>
        <rFont val="DejaVu Sans"/>
        <family val="2"/>
      </rPr>
      <t>로드스톤제</t>
    </r>
    <r>
      <rPr>
        <sz val="10"/>
        <rFont val="Arial"/>
        <family val="2"/>
      </rPr>
      <t>3</t>
    </r>
    <r>
      <rPr>
        <sz val="10"/>
        <rFont val="DejaVu Sans"/>
        <family val="2"/>
      </rPr>
      <t>호창업벤처전문</t>
    </r>
  </si>
  <si>
    <r>
      <rPr>
        <sz val="10"/>
        <rFont val="DejaVu Sans"/>
        <family val="2"/>
      </rPr>
      <t>로드스톤제</t>
    </r>
    <r>
      <rPr>
        <sz val="10"/>
        <rFont val="Arial"/>
        <family val="2"/>
      </rPr>
      <t>4</t>
    </r>
    <r>
      <rPr>
        <sz val="10"/>
        <rFont val="DejaVu Sans"/>
        <family val="2"/>
      </rPr>
      <t>호창업벤처전문</t>
    </r>
  </si>
  <si>
    <t>로드제일호바이오</t>
  </si>
  <si>
    <t>로드제삼호그로쓰캐피탈창업벤처전문</t>
  </si>
  <si>
    <t>로드제이호이에스지</t>
  </si>
  <si>
    <r>
      <rPr>
        <sz val="10"/>
        <rFont val="DejaVu Sans"/>
        <family val="2"/>
      </rPr>
      <t>에이팀하모니제</t>
    </r>
    <r>
      <rPr>
        <sz val="10"/>
        <rFont val="Arial"/>
        <family val="2"/>
      </rPr>
      <t>1</t>
    </r>
    <r>
      <rPr>
        <sz val="10"/>
        <rFont val="DejaVu Sans"/>
        <family val="2"/>
      </rPr>
      <t>호</t>
    </r>
  </si>
  <si>
    <r>
      <rPr>
        <sz val="10"/>
        <rFont val="DejaVu Sans"/>
        <family val="2"/>
      </rPr>
      <t>알티제</t>
    </r>
    <r>
      <rPr>
        <sz val="10"/>
        <rFont val="Arial"/>
        <family val="2"/>
      </rPr>
      <t>1</t>
    </r>
    <r>
      <rPr>
        <sz val="10"/>
        <rFont val="DejaVu Sans"/>
        <family val="2"/>
      </rPr>
      <t>호</t>
    </r>
  </si>
  <si>
    <t>클로버</t>
  </si>
  <si>
    <r>
      <rPr>
        <sz val="10"/>
        <rFont val="DejaVu Sans"/>
        <family val="2"/>
      </rPr>
      <t>루하레아제</t>
    </r>
    <r>
      <rPr>
        <sz val="10"/>
        <rFont val="Arial"/>
        <family val="2"/>
      </rPr>
      <t>1</t>
    </r>
    <r>
      <rPr>
        <sz val="10"/>
        <rFont val="DejaVu Sans"/>
        <family val="2"/>
      </rPr>
      <t>호</t>
    </r>
  </si>
  <si>
    <r>
      <rPr>
        <sz val="10"/>
        <rFont val="DejaVu Sans"/>
        <family val="2"/>
      </rPr>
      <t>루하바이아웃제</t>
    </r>
    <r>
      <rPr>
        <sz val="10"/>
        <rFont val="Arial"/>
        <family val="2"/>
      </rPr>
      <t>1</t>
    </r>
    <r>
      <rPr>
        <sz val="10"/>
        <rFont val="DejaVu Sans"/>
        <family val="2"/>
      </rPr>
      <t>호</t>
    </r>
  </si>
  <si>
    <r>
      <rPr>
        <sz val="10"/>
        <rFont val="DejaVu Sans"/>
        <family val="2"/>
      </rPr>
      <t>루하플로우제</t>
    </r>
    <r>
      <rPr>
        <sz val="10"/>
        <rFont val="Arial"/>
        <family val="2"/>
      </rPr>
      <t>1</t>
    </r>
    <r>
      <rPr>
        <sz val="10"/>
        <rFont val="DejaVu Sans"/>
        <family val="2"/>
      </rPr>
      <t>호</t>
    </r>
  </si>
  <si>
    <t>알씨엠금융인프라제일호</t>
  </si>
  <si>
    <t>알씨엠금융인프라제이호</t>
  </si>
  <si>
    <t>알씨엠오션</t>
  </si>
  <si>
    <t>리오제일호</t>
  </si>
  <si>
    <t>리오제이호</t>
  </si>
  <si>
    <t>신한리오그린</t>
  </si>
  <si>
    <t>엔알제이호</t>
  </si>
  <si>
    <t>엔알제일호재기지원펀드</t>
  </si>
  <si>
    <t>린드먼혁신성장</t>
  </si>
  <si>
    <t>린드먼뉴딜신성장</t>
  </si>
  <si>
    <t>릴슨소비재이호</t>
  </si>
  <si>
    <t>제이앤릴슨하운드</t>
  </si>
  <si>
    <r>
      <rPr>
        <sz val="10"/>
        <rFont val="DejaVu Sans"/>
        <family val="2"/>
      </rPr>
      <t>마그나디글로벌헬스케어제</t>
    </r>
    <r>
      <rPr>
        <sz val="10"/>
        <rFont val="Arial"/>
        <family val="2"/>
      </rPr>
      <t>1</t>
    </r>
    <r>
      <rPr>
        <sz val="10"/>
        <rFont val="DejaVu Sans"/>
        <family val="2"/>
      </rPr>
      <t>호</t>
    </r>
  </si>
  <si>
    <t>마스턴라이프파트너스</t>
  </si>
  <si>
    <t>마스턴파주파트너스</t>
  </si>
  <si>
    <t>마스턴펀드파트너스</t>
  </si>
  <si>
    <t>마이다스성장지원</t>
  </si>
  <si>
    <r>
      <rPr>
        <sz val="10"/>
        <rFont val="DejaVu Sans"/>
        <family val="2"/>
      </rPr>
      <t>마이다스제</t>
    </r>
    <r>
      <rPr>
        <sz val="10"/>
        <rFont val="Arial"/>
        <family val="2"/>
      </rPr>
      <t>5</t>
    </r>
    <r>
      <rPr>
        <sz val="10"/>
        <rFont val="DejaVu Sans"/>
        <family val="2"/>
      </rPr>
      <t>호</t>
    </r>
  </si>
  <si>
    <r>
      <rPr>
        <sz val="10"/>
        <rFont val="DejaVu Sans"/>
        <family val="2"/>
      </rPr>
      <t>마이다스제</t>
    </r>
    <r>
      <rPr>
        <sz val="10"/>
        <rFont val="Arial"/>
        <family val="2"/>
      </rPr>
      <t>8</t>
    </r>
    <r>
      <rPr>
        <sz val="10"/>
        <rFont val="DejaVu Sans"/>
        <family val="2"/>
      </rPr>
      <t>호</t>
    </r>
  </si>
  <si>
    <t>블루닷마이다스글로벌</t>
  </si>
  <si>
    <r>
      <rPr>
        <sz val="10"/>
        <rFont val="DejaVu Sans"/>
        <family val="2"/>
      </rPr>
      <t>마이다스제</t>
    </r>
    <r>
      <rPr>
        <sz val="10"/>
        <rFont val="Arial"/>
        <family val="2"/>
      </rPr>
      <t>10</t>
    </r>
    <r>
      <rPr>
        <sz val="10"/>
        <rFont val="DejaVu Sans"/>
        <family val="2"/>
      </rPr>
      <t>호</t>
    </r>
  </si>
  <si>
    <r>
      <rPr>
        <sz val="10"/>
        <rFont val="DejaVu Sans"/>
        <family val="2"/>
      </rPr>
      <t>마이다스제</t>
    </r>
    <r>
      <rPr>
        <sz val="10"/>
        <rFont val="Arial"/>
        <family val="2"/>
      </rPr>
      <t>12</t>
    </r>
    <r>
      <rPr>
        <sz val="10"/>
        <rFont val="DejaVu Sans"/>
        <family val="2"/>
      </rPr>
      <t>호</t>
    </r>
  </si>
  <si>
    <r>
      <rPr>
        <sz val="10"/>
        <rFont val="Arial"/>
        <family val="2"/>
      </rPr>
      <t>2020</t>
    </r>
    <r>
      <rPr>
        <sz val="10"/>
        <rFont val="DejaVu Sans"/>
        <family val="2"/>
      </rPr>
      <t>뉴스포츠그로쓰</t>
    </r>
  </si>
  <si>
    <t>미래형자동차구독플랫폼</t>
  </si>
  <si>
    <t>마일스톤마젠타</t>
  </si>
  <si>
    <r>
      <rPr>
        <sz val="10"/>
        <rFont val="DejaVu Sans"/>
        <family val="2"/>
      </rPr>
      <t>맥쿼리코리아오퍼튜니티즈제</t>
    </r>
    <r>
      <rPr>
        <sz val="10"/>
        <rFont val="Arial"/>
        <family val="2"/>
      </rPr>
      <t>5</t>
    </r>
    <r>
      <rPr>
        <sz val="10"/>
        <rFont val="DejaVu Sans"/>
        <family val="2"/>
      </rPr>
      <t>호</t>
    </r>
  </si>
  <si>
    <r>
      <rPr>
        <sz val="10"/>
        <rFont val="DejaVu Sans"/>
        <family val="2"/>
      </rPr>
      <t>맥쿼리코리아오퍼튜니티즈공동투자제</t>
    </r>
    <r>
      <rPr>
        <sz val="10"/>
        <rFont val="Arial"/>
        <family val="2"/>
      </rPr>
      <t>1</t>
    </r>
    <r>
      <rPr>
        <sz val="10"/>
        <rFont val="DejaVu Sans"/>
        <family val="2"/>
      </rPr>
      <t>호</t>
    </r>
  </si>
  <si>
    <r>
      <rPr>
        <sz val="10"/>
        <rFont val="DejaVu Sans"/>
        <family val="2"/>
      </rPr>
      <t>맥쿼리코리아오퍼튜니티즈공동투자제</t>
    </r>
    <r>
      <rPr>
        <sz val="10"/>
        <rFont val="Arial"/>
        <family val="2"/>
      </rPr>
      <t>2</t>
    </r>
    <r>
      <rPr>
        <sz val="10"/>
        <rFont val="DejaVu Sans"/>
        <family val="2"/>
      </rPr>
      <t>호</t>
    </r>
  </si>
  <si>
    <r>
      <rPr>
        <sz val="10"/>
        <rFont val="DejaVu Sans"/>
        <family val="2"/>
      </rPr>
      <t>맥쿼리코리아오퍼튜니티즈제</t>
    </r>
    <r>
      <rPr>
        <sz val="10"/>
        <rFont val="Arial"/>
        <family val="2"/>
      </rPr>
      <t>6</t>
    </r>
    <r>
      <rPr>
        <sz val="10"/>
        <rFont val="DejaVu Sans"/>
        <family val="2"/>
      </rPr>
      <t>호</t>
    </r>
  </si>
  <si>
    <r>
      <rPr>
        <sz val="10"/>
        <rFont val="DejaVu Sans"/>
        <family val="2"/>
      </rPr>
      <t>엠코프</t>
    </r>
    <r>
      <rPr>
        <sz val="10"/>
        <rFont val="Arial"/>
        <family val="2"/>
      </rPr>
      <t>6</t>
    </r>
    <r>
      <rPr>
        <sz val="10"/>
        <rFont val="DejaVu Sans"/>
        <family val="2"/>
      </rPr>
      <t>공동투자제</t>
    </r>
    <r>
      <rPr>
        <sz val="10"/>
        <rFont val="Arial"/>
        <family val="2"/>
      </rPr>
      <t>1</t>
    </r>
    <r>
      <rPr>
        <sz val="10"/>
        <rFont val="DejaVu Sans"/>
        <family val="2"/>
      </rPr>
      <t>호</t>
    </r>
  </si>
  <si>
    <r>
      <rPr>
        <sz val="10"/>
        <rFont val="DejaVu Sans"/>
        <family val="2"/>
      </rPr>
      <t>메리츠스페셜시츄에이션제</t>
    </r>
    <r>
      <rPr>
        <sz val="10"/>
        <rFont val="Arial"/>
        <family val="2"/>
      </rPr>
      <t>1</t>
    </r>
    <r>
      <rPr>
        <sz val="10"/>
        <rFont val="DejaVu Sans"/>
        <family val="2"/>
      </rPr>
      <t>호</t>
    </r>
  </si>
  <si>
    <r>
      <rPr>
        <sz val="10"/>
        <rFont val="DejaVu Sans"/>
        <family val="2"/>
      </rPr>
      <t>메이븐그로쓰제</t>
    </r>
    <r>
      <rPr>
        <sz val="10"/>
        <rFont val="Arial"/>
        <family val="2"/>
      </rPr>
      <t>1</t>
    </r>
    <r>
      <rPr>
        <sz val="10"/>
        <rFont val="DejaVu Sans"/>
        <family val="2"/>
      </rPr>
      <t>호창업벤처전문</t>
    </r>
  </si>
  <si>
    <r>
      <rPr>
        <sz val="10"/>
        <rFont val="DejaVu Sans"/>
        <family val="2"/>
      </rPr>
      <t>메인스트리트디지털헬스제</t>
    </r>
    <r>
      <rPr>
        <sz val="10"/>
        <rFont val="Arial"/>
        <family val="2"/>
      </rPr>
      <t>1</t>
    </r>
    <r>
      <rPr>
        <sz val="10"/>
        <rFont val="DejaVu Sans"/>
        <family val="2"/>
      </rPr>
      <t>호</t>
    </r>
  </si>
  <si>
    <r>
      <rPr>
        <sz val="10"/>
        <rFont val="DejaVu Sans"/>
        <family val="2"/>
      </rPr>
      <t>메인스트리트애그테크제</t>
    </r>
    <r>
      <rPr>
        <sz val="10"/>
        <rFont val="Arial"/>
        <family val="2"/>
      </rPr>
      <t>2</t>
    </r>
    <r>
      <rPr>
        <sz val="10"/>
        <rFont val="DejaVu Sans"/>
        <family val="2"/>
      </rPr>
      <t>호위드김앤드이</t>
    </r>
  </si>
  <si>
    <r>
      <rPr>
        <sz val="10"/>
        <rFont val="DejaVu Sans"/>
        <family val="2"/>
      </rPr>
      <t>메인스트리트디지털라이프제</t>
    </r>
    <r>
      <rPr>
        <sz val="10"/>
        <rFont val="Arial"/>
        <family val="2"/>
      </rPr>
      <t>2</t>
    </r>
    <r>
      <rPr>
        <sz val="10"/>
        <rFont val="DejaVu Sans"/>
        <family val="2"/>
      </rPr>
      <t>호</t>
    </r>
  </si>
  <si>
    <r>
      <rPr>
        <sz val="10"/>
        <rFont val="DejaVu Sans"/>
        <family val="2"/>
      </rPr>
      <t>메인스트리트디지털라이프제</t>
    </r>
    <r>
      <rPr>
        <sz val="10"/>
        <rFont val="Arial"/>
        <family val="2"/>
      </rPr>
      <t>3</t>
    </r>
    <r>
      <rPr>
        <sz val="10"/>
        <rFont val="DejaVu Sans"/>
        <family val="2"/>
      </rPr>
      <t>호</t>
    </r>
  </si>
  <si>
    <r>
      <rPr>
        <sz val="10"/>
        <rFont val="DejaVu Sans"/>
        <family val="2"/>
      </rPr>
      <t>메인스트리트애그테크제</t>
    </r>
    <r>
      <rPr>
        <sz val="10"/>
        <rFont val="Arial"/>
        <family val="2"/>
      </rPr>
      <t>3</t>
    </r>
    <r>
      <rPr>
        <sz val="10"/>
        <rFont val="DejaVu Sans"/>
        <family val="2"/>
      </rPr>
      <t>호</t>
    </r>
  </si>
  <si>
    <r>
      <rPr>
        <sz val="10"/>
        <rFont val="DejaVu Sans"/>
        <family val="2"/>
      </rPr>
      <t>메타벤처자산유동화제</t>
    </r>
    <r>
      <rPr>
        <sz val="10"/>
        <rFont val="Arial"/>
        <family val="2"/>
      </rPr>
      <t>1</t>
    </r>
    <r>
      <rPr>
        <sz val="10"/>
        <rFont val="DejaVu Sans"/>
        <family val="2"/>
      </rPr>
      <t>호</t>
    </r>
  </si>
  <si>
    <t>메타티비이에스지제일호</t>
  </si>
  <si>
    <r>
      <rPr>
        <sz val="10"/>
        <rFont val="DejaVu Sans"/>
        <family val="2"/>
      </rPr>
      <t>메타벤처자산유동화제</t>
    </r>
    <r>
      <rPr>
        <sz val="10"/>
        <rFont val="Arial"/>
        <family val="2"/>
      </rPr>
      <t>2</t>
    </r>
    <r>
      <rPr>
        <sz val="10"/>
        <rFont val="DejaVu Sans"/>
        <family val="2"/>
      </rPr>
      <t>호</t>
    </r>
  </si>
  <si>
    <t>메타세컨더리제이호</t>
  </si>
  <si>
    <t>메티스톤성장지원</t>
  </si>
  <si>
    <t>메티스톤혁신성장제일호</t>
  </si>
  <si>
    <t>휘트린멜론구조혁신기업재무안정기관전용</t>
  </si>
  <si>
    <t>모트뷰티바이오</t>
  </si>
  <si>
    <t>제이앤에이치파워</t>
  </si>
  <si>
    <r>
      <rPr>
        <sz val="10"/>
        <rFont val="DejaVu Sans"/>
        <family val="2"/>
      </rPr>
      <t>지노베이션</t>
    </r>
    <r>
      <rPr>
        <sz val="10"/>
        <rFont val="Arial"/>
        <family val="2"/>
      </rPr>
      <t>1</t>
    </r>
    <r>
      <rPr>
        <sz val="10"/>
        <rFont val="DejaVu Sans"/>
        <family val="2"/>
      </rPr>
      <t>호</t>
    </r>
  </si>
  <si>
    <r>
      <rPr>
        <sz val="10"/>
        <rFont val="DejaVu Sans"/>
        <family val="2"/>
      </rPr>
      <t>펫플랫폼제</t>
    </r>
    <r>
      <rPr>
        <sz val="10"/>
        <rFont val="Arial"/>
        <family val="2"/>
      </rPr>
      <t>2</t>
    </r>
    <r>
      <rPr>
        <sz val="10"/>
        <rFont val="DejaVu Sans"/>
        <family val="2"/>
      </rPr>
      <t>호</t>
    </r>
  </si>
  <si>
    <r>
      <rPr>
        <sz val="10"/>
        <rFont val="DejaVu Sans"/>
        <family val="2"/>
      </rPr>
      <t>포휴먼라이프제</t>
    </r>
    <r>
      <rPr>
        <sz val="10"/>
        <rFont val="Arial"/>
        <family val="2"/>
      </rPr>
      <t>1</t>
    </r>
    <r>
      <rPr>
        <sz val="10"/>
        <rFont val="DejaVu Sans"/>
        <family val="2"/>
      </rPr>
      <t>호</t>
    </r>
  </si>
  <si>
    <t>미래에셋큐리어스구조혁신기업재무안정</t>
  </si>
  <si>
    <t>에스케이에스미래에셋기업재무안정</t>
  </si>
  <si>
    <r>
      <rPr>
        <sz val="10"/>
        <rFont val="DejaVu Sans"/>
        <family val="2"/>
      </rPr>
      <t>미래에셋위반도체</t>
    </r>
    <r>
      <rPr>
        <sz val="10"/>
        <rFont val="Arial"/>
        <family val="2"/>
      </rPr>
      <t>1</t>
    </r>
    <r>
      <rPr>
        <sz val="10"/>
        <rFont val="DejaVu Sans"/>
        <family val="2"/>
      </rPr>
      <t>호창업벤처전문</t>
    </r>
  </si>
  <si>
    <t>미래에셋이에스지기업재무안정</t>
  </si>
  <si>
    <r>
      <rPr>
        <sz val="10"/>
        <rFont val="DejaVu Sans"/>
        <family val="2"/>
      </rPr>
      <t>미래에셋파트너스제</t>
    </r>
    <r>
      <rPr>
        <sz val="10"/>
        <rFont val="Arial"/>
        <family val="2"/>
      </rPr>
      <t>9</t>
    </r>
    <r>
      <rPr>
        <sz val="10"/>
        <rFont val="DejaVu Sans"/>
        <family val="2"/>
      </rPr>
      <t>호</t>
    </r>
  </si>
  <si>
    <r>
      <rPr>
        <sz val="10"/>
        <rFont val="DejaVu Sans"/>
        <family val="2"/>
      </rPr>
      <t>미래에셋파트너스제</t>
    </r>
    <r>
      <rPr>
        <sz val="10"/>
        <rFont val="Arial"/>
        <family val="2"/>
      </rPr>
      <t>11</t>
    </r>
    <r>
      <rPr>
        <sz val="10"/>
        <rFont val="DejaVu Sans"/>
        <family val="2"/>
      </rPr>
      <t>호</t>
    </r>
  </si>
  <si>
    <t>미래에셋증권코리아제이호</t>
  </si>
  <si>
    <r>
      <rPr>
        <sz val="10"/>
        <rFont val="DejaVu Sans"/>
        <family val="2"/>
      </rPr>
      <t>에코</t>
    </r>
    <r>
      <rPr>
        <sz val="10"/>
        <rFont val="Arial"/>
        <family val="2"/>
      </rPr>
      <t>2022</t>
    </r>
  </si>
  <si>
    <t>민트글로벌바이오텍창업벤처전문</t>
  </si>
  <si>
    <t>뱅커스트릿코인베스트먼트</t>
  </si>
  <si>
    <r>
      <rPr>
        <sz val="10"/>
        <rFont val="DejaVu Sans"/>
        <family val="2"/>
      </rPr>
      <t>키스톤뱅커스</t>
    </r>
    <r>
      <rPr>
        <sz val="10"/>
        <rFont val="Arial"/>
        <family val="2"/>
      </rPr>
      <t>1</t>
    </r>
    <r>
      <rPr>
        <sz val="10"/>
        <rFont val="DejaVu Sans"/>
        <family val="2"/>
      </rPr>
      <t>호</t>
    </r>
  </si>
  <si>
    <r>
      <rPr>
        <sz val="10"/>
        <rFont val="DejaVu Sans"/>
        <family val="2"/>
      </rPr>
      <t>무궁화기업재무안정</t>
    </r>
    <r>
      <rPr>
        <sz val="10"/>
        <rFont val="Arial"/>
        <family val="2"/>
      </rPr>
      <t>3</t>
    </r>
    <r>
      <rPr>
        <sz val="10"/>
        <rFont val="DejaVu Sans"/>
        <family val="2"/>
      </rPr>
      <t>호</t>
    </r>
  </si>
  <si>
    <t>무궁화이노베이션</t>
  </si>
  <si>
    <t>엠제이기업재무안정</t>
  </si>
  <si>
    <t>더블유에프비에스제일호기업재무안정</t>
  </si>
  <si>
    <t>케이에프비에스제이호기업재무안정</t>
  </si>
  <si>
    <t>에스에프아이창업벤처전문</t>
  </si>
  <si>
    <t>에이치피에스</t>
  </si>
  <si>
    <r>
      <rPr>
        <sz val="10"/>
        <rFont val="DejaVu Sans"/>
        <family val="2"/>
      </rPr>
      <t>하일랜드메자닌제</t>
    </r>
    <r>
      <rPr>
        <sz val="10"/>
        <rFont val="Arial"/>
        <family val="2"/>
      </rPr>
      <t>2</t>
    </r>
    <r>
      <rPr>
        <sz val="10"/>
        <rFont val="DejaVu Sans"/>
        <family val="2"/>
      </rPr>
      <t>호</t>
    </r>
  </si>
  <si>
    <r>
      <rPr>
        <sz val="10"/>
        <rFont val="DejaVu Sans"/>
        <family val="2"/>
      </rPr>
      <t>하일랜드제</t>
    </r>
    <r>
      <rPr>
        <sz val="10"/>
        <rFont val="Arial"/>
        <family val="2"/>
      </rPr>
      <t>1</t>
    </r>
    <r>
      <rPr>
        <sz val="10"/>
        <rFont val="DejaVu Sans"/>
        <family val="2"/>
      </rPr>
      <t>호</t>
    </r>
  </si>
  <si>
    <r>
      <rPr>
        <sz val="10"/>
        <rFont val="DejaVu Sans"/>
        <family val="2"/>
      </rPr>
      <t>한투베일리제</t>
    </r>
    <r>
      <rPr>
        <sz val="10"/>
        <rFont val="Arial"/>
        <family val="2"/>
      </rPr>
      <t>1</t>
    </r>
    <r>
      <rPr>
        <sz val="10"/>
        <rFont val="DejaVu Sans"/>
        <family val="2"/>
      </rPr>
      <t>호</t>
    </r>
  </si>
  <si>
    <t>팩텀베일리몬도</t>
  </si>
  <si>
    <r>
      <rPr>
        <sz val="10"/>
        <rFont val="DejaVu Sans"/>
        <family val="2"/>
      </rPr>
      <t>케이비베저스차세대모빌리티이에스지제</t>
    </r>
    <r>
      <rPr>
        <sz val="10"/>
        <rFont val="Arial"/>
        <family val="2"/>
      </rPr>
      <t>1</t>
    </r>
    <r>
      <rPr>
        <sz val="10"/>
        <rFont val="DejaVu Sans"/>
        <family val="2"/>
      </rPr>
      <t>호</t>
    </r>
  </si>
  <si>
    <t>젠파트너스부산에쿼티이에스지</t>
  </si>
  <si>
    <t>부코이에스지</t>
  </si>
  <si>
    <t>브라이트스톤바이오제일호</t>
  </si>
  <si>
    <r>
      <rPr>
        <sz val="10"/>
        <rFont val="DejaVu Sans"/>
        <family val="2"/>
      </rPr>
      <t>케이디비브레인글로벌</t>
    </r>
    <r>
      <rPr>
        <sz val="10"/>
        <rFont val="Arial"/>
        <family val="2"/>
      </rPr>
      <t>1</t>
    </r>
    <r>
      <rPr>
        <sz val="10"/>
        <rFont val="DejaVu Sans"/>
        <family val="2"/>
      </rPr>
      <t>호</t>
    </r>
  </si>
  <si>
    <r>
      <rPr>
        <sz val="10"/>
        <rFont val="DejaVu Sans"/>
        <family val="2"/>
      </rPr>
      <t>브릭스캐피탈매니지먼트글로벌배터리제</t>
    </r>
    <r>
      <rPr>
        <sz val="10"/>
        <rFont val="Arial"/>
        <family val="2"/>
      </rPr>
      <t>1</t>
    </r>
    <r>
      <rPr>
        <sz val="10"/>
        <rFont val="DejaVu Sans"/>
        <family val="2"/>
      </rPr>
      <t>호</t>
    </r>
  </si>
  <si>
    <t>브릭스캐피탈사이언인베스터스</t>
  </si>
  <si>
    <r>
      <rPr>
        <sz val="10"/>
        <rFont val="DejaVu Sans"/>
        <family val="2"/>
      </rPr>
      <t>브이씨엠그로쓰제</t>
    </r>
    <r>
      <rPr>
        <sz val="10"/>
        <rFont val="Arial"/>
        <family val="2"/>
      </rPr>
      <t>1</t>
    </r>
    <r>
      <rPr>
        <sz val="10"/>
        <rFont val="DejaVu Sans"/>
        <family val="2"/>
      </rPr>
      <t>호</t>
    </r>
  </si>
  <si>
    <t>브이아이지제삼의삼호</t>
  </si>
  <si>
    <t>브이아이지제삼의이호</t>
  </si>
  <si>
    <t>브이아이지제삼의일호</t>
  </si>
  <si>
    <t>브이아이지제삼의피플러스</t>
  </si>
  <si>
    <t>브이아이지제삼의지플러스</t>
  </si>
  <si>
    <t>브이아이지제사의디에스</t>
  </si>
  <si>
    <t>브이아이지제사의사호</t>
  </si>
  <si>
    <t>브이아이지제사의삼호</t>
  </si>
  <si>
    <t>브이아이지제사의오호</t>
  </si>
  <si>
    <t>브이아이지제사의육호</t>
  </si>
  <si>
    <t>브이아이지제사의이호</t>
  </si>
  <si>
    <t>브이아이지제사의일호</t>
  </si>
  <si>
    <t>브이아이지제사의피에스</t>
  </si>
  <si>
    <r>
      <rPr>
        <sz val="10"/>
        <rFont val="DejaVu Sans"/>
        <family val="2"/>
      </rPr>
      <t>브이아이지얼터너티브크레딧</t>
    </r>
    <r>
      <rPr>
        <sz val="10"/>
        <rFont val="Arial"/>
        <family val="2"/>
      </rPr>
      <t>1</t>
    </r>
    <r>
      <rPr>
        <sz val="10"/>
        <rFont val="DejaVu Sans"/>
        <family val="2"/>
      </rPr>
      <t>호</t>
    </r>
  </si>
  <si>
    <t>브이아이지와이플러스</t>
  </si>
  <si>
    <t>브이아이지제사의케이디</t>
  </si>
  <si>
    <t>브이아이지제사호에스씨</t>
  </si>
  <si>
    <t>브이아이지스카이</t>
  </si>
  <si>
    <t>브이아이지제오의일호</t>
  </si>
  <si>
    <t>브이아이지제사의이케이오</t>
  </si>
  <si>
    <t>브이아이지제오의삼호</t>
  </si>
  <si>
    <t>브이아이지제오의이호</t>
  </si>
  <si>
    <t>브이엘네른스트</t>
  </si>
  <si>
    <t>브이엘지글러</t>
  </si>
  <si>
    <t>브이엘가임</t>
  </si>
  <si>
    <t>브이엘리차드</t>
  </si>
  <si>
    <t>브이엘미래환경산업</t>
  </si>
  <si>
    <t>브이엘아인슈타인이차</t>
  </si>
  <si>
    <t>브이엘타우브</t>
  </si>
  <si>
    <t>브이엘지글러이차</t>
  </si>
  <si>
    <r>
      <rPr>
        <sz val="10"/>
        <rFont val="DejaVu Sans"/>
        <family val="2"/>
      </rPr>
      <t>브이엘지글러제</t>
    </r>
    <r>
      <rPr>
        <sz val="10"/>
        <rFont val="Arial"/>
        <family val="2"/>
      </rPr>
      <t>4</t>
    </r>
    <r>
      <rPr>
        <sz val="10"/>
        <rFont val="DejaVu Sans"/>
        <family val="2"/>
      </rPr>
      <t>차</t>
    </r>
  </si>
  <si>
    <t>브이엘크로토</t>
  </si>
  <si>
    <r>
      <rPr>
        <sz val="10"/>
        <rFont val="DejaVu Sans"/>
        <family val="2"/>
      </rPr>
      <t>브이엘화인지글러제</t>
    </r>
    <r>
      <rPr>
        <sz val="10"/>
        <rFont val="Arial"/>
        <family val="2"/>
      </rPr>
      <t>3</t>
    </r>
    <r>
      <rPr>
        <sz val="10"/>
        <rFont val="DejaVu Sans"/>
        <family val="2"/>
      </rPr>
      <t>차</t>
    </r>
  </si>
  <si>
    <r>
      <rPr>
        <sz val="10"/>
        <rFont val="DejaVu Sans"/>
        <family val="2"/>
      </rPr>
      <t>클로브</t>
    </r>
    <r>
      <rPr>
        <sz val="10"/>
        <rFont val="Arial"/>
        <family val="2"/>
      </rPr>
      <t>1</t>
    </r>
    <r>
      <rPr>
        <sz val="10"/>
        <rFont val="DejaVu Sans"/>
        <family val="2"/>
      </rPr>
      <t>호</t>
    </r>
  </si>
  <si>
    <r>
      <rPr>
        <sz val="10"/>
        <rFont val="DejaVu Sans"/>
        <family val="2"/>
      </rPr>
      <t>브이원매버릭</t>
    </r>
    <r>
      <rPr>
        <sz val="10"/>
        <rFont val="Arial"/>
        <family val="2"/>
      </rPr>
      <t>1</t>
    </r>
    <r>
      <rPr>
        <sz val="10"/>
        <rFont val="DejaVu Sans"/>
        <family val="2"/>
      </rPr>
      <t>호</t>
    </r>
  </si>
  <si>
    <r>
      <rPr>
        <sz val="10"/>
        <rFont val="DejaVu Sans"/>
        <family val="2"/>
      </rPr>
      <t>브이원이에스지제</t>
    </r>
    <r>
      <rPr>
        <sz val="10"/>
        <rFont val="Arial"/>
        <family val="2"/>
      </rPr>
      <t>1</t>
    </r>
    <r>
      <rPr>
        <sz val="10"/>
        <rFont val="DejaVu Sans"/>
        <family val="2"/>
      </rPr>
      <t>호</t>
    </r>
  </si>
  <si>
    <t>브이티아이파트너스그로쓰창업벤처전문</t>
  </si>
  <si>
    <t>브이티아이파트너스제이스퀘어블록체인</t>
  </si>
  <si>
    <t>브이티아이파트너스이브이</t>
  </si>
  <si>
    <t>이지스비스톤제이호</t>
  </si>
  <si>
    <r>
      <rPr>
        <sz val="10"/>
        <rFont val="DejaVu Sans"/>
        <family val="2"/>
      </rPr>
      <t>트윈브릿지제</t>
    </r>
    <r>
      <rPr>
        <sz val="10"/>
        <rFont val="Arial"/>
        <family val="2"/>
      </rPr>
      <t>1</t>
    </r>
    <r>
      <rPr>
        <sz val="10"/>
        <rFont val="DejaVu Sans"/>
        <family val="2"/>
      </rPr>
      <t>호</t>
    </r>
  </si>
  <si>
    <r>
      <rPr>
        <sz val="10"/>
        <rFont val="DejaVu Sans"/>
        <family val="2"/>
      </rPr>
      <t>아이비케이비엔더블유기술금융</t>
    </r>
    <r>
      <rPr>
        <sz val="10"/>
        <rFont val="Arial"/>
        <family val="2"/>
      </rPr>
      <t>2018</t>
    </r>
  </si>
  <si>
    <t>비엔더블유기술혁신</t>
  </si>
  <si>
    <t>아이비케이비엔더블유산업경쟁력성장지원</t>
  </si>
  <si>
    <t>비엔더블유키움엔이엑스</t>
  </si>
  <si>
    <t>비엔더블유에이스</t>
  </si>
  <si>
    <t>비엔더블유리차지</t>
  </si>
  <si>
    <t>비엔더블유프랙시스</t>
  </si>
  <si>
    <t>리부트</t>
  </si>
  <si>
    <r>
      <rPr>
        <sz val="10"/>
        <rFont val="DejaVu Sans"/>
        <family val="2"/>
      </rPr>
      <t>비엔더블유살투스제</t>
    </r>
    <r>
      <rPr>
        <sz val="10"/>
        <rFont val="Arial"/>
        <family val="2"/>
      </rPr>
      <t>1</t>
    </r>
    <r>
      <rPr>
        <sz val="10"/>
        <rFont val="DejaVu Sans"/>
        <family val="2"/>
      </rPr>
      <t>호</t>
    </r>
  </si>
  <si>
    <r>
      <rPr>
        <sz val="10"/>
        <rFont val="DejaVu Sans"/>
        <family val="2"/>
      </rPr>
      <t>인빅터스비엔케이이에스지제</t>
    </r>
    <r>
      <rPr>
        <sz val="10"/>
        <rFont val="Arial"/>
        <family val="2"/>
      </rPr>
      <t>1</t>
    </r>
    <r>
      <rPr>
        <sz val="10"/>
        <rFont val="DejaVu Sans"/>
        <family val="2"/>
      </rPr>
      <t>호</t>
    </r>
  </si>
  <si>
    <t>비케이피엘에스티엘</t>
  </si>
  <si>
    <t>키움비하이스마트이노베이션</t>
  </si>
  <si>
    <t>케이디비씨에이비즈엠엔에이</t>
  </si>
  <si>
    <t>케이디비씨공동투자</t>
  </si>
  <si>
    <r>
      <rPr>
        <sz val="10"/>
        <rFont val="DejaVu Sans"/>
        <family val="2"/>
      </rPr>
      <t>호주그린에너지제</t>
    </r>
    <r>
      <rPr>
        <sz val="10"/>
        <rFont val="Arial"/>
        <family val="2"/>
      </rPr>
      <t>1</t>
    </r>
    <r>
      <rPr>
        <sz val="10"/>
        <rFont val="DejaVu Sans"/>
        <family val="2"/>
      </rPr>
      <t>호</t>
    </r>
  </si>
  <si>
    <r>
      <rPr>
        <sz val="10"/>
        <rFont val="DejaVu Sans"/>
        <family val="2"/>
      </rPr>
      <t>비티에스제</t>
    </r>
    <r>
      <rPr>
        <sz val="10"/>
        <rFont val="Arial"/>
        <family val="2"/>
      </rPr>
      <t>1</t>
    </r>
    <r>
      <rPr>
        <sz val="10"/>
        <rFont val="DejaVu Sans"/>
        <family val="2"/>
      </rPr>
      <t>호</t>
    </r>
  </si>
  <si>
    <r>
      <rPr>
        <sz val="10"/>
        <rFont val="DejaVu Sans"/>
        <family val="2"/>
      </rPr>
      <t>비티에스제</t>
    </r>
    <r>
      <rPr>
        <sz val="10"/>
        <rFont val="Arial"/>
        <family val="2"/>
      </rPr>
      <t>2</t>
    </r>
    <r>
      <rPr>
        <sz val="10"/>
        <rFont val="DejaVu Sans"/>
        <family val="2"/>
      </rPr>
      <t>호</t>
    </r>
  </si>
  <si>
    <t>이티</t>
  </si>
  <si>
    <t>한국투자세마인베로보틱스</t>
  </si>
  <si>
    <r>
      <rPr>
        <sz val="10"/>
        <rFont val="DejaVu Sans"/>
        <family val="2"/>
      </rPr>
      <t>세븐브릿지제</t>
    </r>
    <r>
      <rPr>
        <sz val="10"/>
        <rFont val="Arial"/>
        <family val="2"/>
      </rPr>
      <t>5</t>
    </r>
    <r>
      <rPr>
        <sz val="10"/>
        <rFont val="DejaVu Sans"/>
        <family val="2"/>
      </rPr>
      <t>호구조혁신기업재무안정</t>
    </r>
  </si>
  <si>
    <t>세븐브릿지성장제일호</t>
  </si>
  <si>
    <r>
      <rPr>
        <sz val="10"/>
        <rFont val="DejaVu Sans"/>
        <family val="2"/>
      </rPr>
      <t>센트로이드제</t>
    </r>
    <r>
      <rPr>
        <sz val="10"/>
        <rFont val="Arial"/>
        <family val="2"/>
      </rPr>
      <t>1</t>
    </r>
    <r>
      <rPr>
        <sz val="10"/>
        <rFont val="DejaVu Sans"/>
        <family val="2"/>
      </rPr>
      <t>호차이나</t>
    </r>
  </si>
  <si>
    <r>
      <rPr>
        <sz val="10"/>
        <rFont val="DejaVu Sans"/>
        <family val="2"/>
      </rPr>
      <t>센트로이드옐로씨제</t>
    </r>
    <r>
      <rPr>
        <sz val="10"/>
        <rFont val="Arial"/>
        <family val="2"/>
      </rPr>
      <t>1</t>
    </r>
    <r>
      <rPr>
        <sz val="10"/>
        <rFont val="DejaVu Sans"/>
        <family val="2"/>
      </rPr>
      <t>호바이아웃</t>
    </r>
  </si>
  <si>
    <r>
      <rPr>
        <sz val="10"/>
        <rFont val="DejaVu Sans"/>
        <family val="2"/>
      </rPr>
      <t>센트로이드제</t>
    </r>
    <r>
      <rPr>
        <sz val="10"/>
        <rFont val="Arial"/>
        <family val="2"/>
      </rPr>
      <t>5</t>
    </r>
    <r>
      <rPr>
        <sz val="10"/>
        <rFont val="DejaVu Sans"/>
        <family val="2"/>
      </rPr>
      <t>호바이아웃</t>
    </r>
  </si>
  <si>
    <r>
      <rPr>
        <sz val="10"/>
        <rFont val="DejaVu Sans"/>
        <family val="2"/>
      </rPr>
      <t>센트로이드제</t>
    </r>
    <r>
      <rPr>
        <sz val="10"/>
        <rFont val="Arial"/>
        <family val="2"/>
      </rPr>
      <t>7</t>
    </r>
    <r>
      <rPr>
        <sz val="10"/>
        <rFont val="DejaVu Sans"/>
        <family val="2"/>
      </rPr>
      <t>의</t>
    </r>
    <r>
      <rPr>
        <sz val="10"/>
        <rFont val="Arial"/>
        <family val="2"/>
      </rPr>
      <t>1</t>
    </r>
    <r>
      <rPr>
        <sz val="10"/>
        <rFont val="DejaVu Sans"/>
        <family val="2"/>
      </rPr>
      <t>호바이아웃</t>
    </r>
  </si>
  <si>
    <r>
      <rPr>
        <sz val="10"/>
        <rFont val="DejaVu Sans"/>
        <family val="2"/>
      </rPr>
      <t>센트로이드제</t>
    </r>
    <r>
      <rPr>
        <sz val="10"/>
        <rFont val="Arial"/>
        <family val="2"/>
      </rPr>
      <t>7</t>
    </r>
    <r>
      <rPr>
        <sz val="10"/>
        <rFont val="DejaVu Sans"/>
        <family val="2"/>
      </rPr>
      <t>호바이아웃</t>
    </r>
  </si>
  <si>
    <r>
      <rPr>
        <sz val="10"/>
        <rFont val="DejaVu Sans"/>
        <family val="2"/>
      </rPr>
      <t>센트로이드제</t>
    </r>
    <r>
      <rPr>
        <sz val="10"/>
        <rFont val="Arial"/>
        <family val="2"/>
      </rPr>
      <t>8</t>
    </r>
    <r>
      <rPr>
        <sz val="10"/>
        <rFont val="DejaVu Sans"/>
        <family val="2"/>
      </rPr>
      <t>호코인베스트</t>
    </r>
  </si>
  <si>
    <r>
      <rPr>
        <sz val="10"/>
        <rFont val="DejaVu Sans"/>
        <family val="2"/>
      </rPr>
      <t>소시어스웰투시인베스트먼트제</t>
    </r>
    <r>
      <rPr>
        <sz val="10"/>
        <rFont val="Arial"/>
        <family val="2"/>
      </rPr>
      <t>2</t>
    </r>
    <r>
      <rPr>
        <sz val="10"/>
        <rFont val="DejaVu Sans"/>
        <family val="2"/>
      </rPr>
      <t>호기업재무안정</t>
    </r>
  </si>
  <si>
    <r>
      <rPr>
        <sz val="10"/>
        <rFont val="DejaVu Sans"/>
        <family val="2"/>
      </rPr>
      <t>소시어스한국투자제</t>
    </r>
    <r>
      <rPr>
        <sz val="10"/>
        <rFont val="Arial"/>
        <family val="2"/>
      </rPr>
      <t>1</t>
    </r>
    <r>
      <rPr>
        <sz val="10"/>
        <rFont val="DejaVu Sans"/>
        <family val="2"/>
      </rPr>
      <t>호기업재무안정</t>
    </r>
  </si>
  <si>
    <t>스마일게이트아프로디테</t>
  </si>
  <si>
    <r>
      <rPr>
        <sz val="10"/>
        <rFont val="DejaVu Sans"/>
        <family val="2"/>
      </rPr>
      <t>스마일게이트베트남카이로스</t>
    </r>
    <r>
      <rPr>
        <sz val="10"/>
        <rFont val="Arial"/>
        <family val="2"/>
      </rPr>
      <t>1</t>
    </r>
    <r>
      <rPr>
        <sz val="10"/>
        <rFont val="DejaVu Sans"/>
        <family val="2"/>
      </rPr>
      <t>호</t>
    </r>
  </si>
  <si>
    <r>
      <rPr>
        <sz val="10"/>
        <rFont val="DejaVu Sans"/>
        <family val="2"/>
      </rPr>
      <t>신한스마일게이트글로벌제</t>
    </r>
    <r>
      <rPr>
        <sz val="10"/>
        <rFont val="Arial"/>
        <family val="2"/>
      </rPr>
      <t>1</t>
    </r>
    <r>
      <rPr>
        <sz val="10"/>
        <rFont val="DejaVu Sans"/>
        <family val="2"/>
      </rPr>
      <t>호</t>
    </r>
  </si>
  <si>
    <t>스마일게이트카이로스서브원</t>
  </si>
  <si>
    <r>
      <rPr>
        <sz val="10"/>
        <rFont val="DejaVu Sans"/>
        <family val="2"/>
      </rPr>
      <t>스마일게이트퀵실버제</t>
    </r>
    <r>
      <rPr>
        <sz val="10"/>
        <rFont val="Arial"/>
        <family val="2"/>
      </rPr>
      <t>1</t>
    </r>
    <r>
      <rPr>
        <sz val="10"/>
        <rFont val="DejaVu Sans"/>
        <family val="2"/>
      </rPr>
      <t>호</t>
    </r>
  </si>
  <si>
    <r>
      <rPr>
        <sz val="10"/>
        <rFont val="DejaVu Sans"/>
        <family val="2"/>
      </rPr>
      <t>스카이레이크메자닌제</t>
    </r>
    <r>
      <rPr>
        <sz val="10"/>
        <rFont val="Arial"/>
        <family val="2"/>
      </rPr>
      <t>1</t>
    </r>
    <r>
      <rPr>
        <sz val="10"/>
        <rFont val="DejaVu Sans"/>
        <family val="2"/>
      </rPr>
      <t>호</t>
    </r>
  </si>
  <si>
    <r>
      <rPr>
        <sz val="10"/>
        <rFont val="DejaVu Sans"/>
        <family val="2"/>
      </rPr>
      <t>스카이레이크신성장바이아웃</t>
    </r>
    <r>
      <rPr>
        <sz val="10"/>
        <rFont val="Arial"/>
        <family val="2"/>
      </rPr>
      <t>4</t>
    </r>
    <r>
      <rPr>
        <sz val="10"/>
        <rFont val="DejaVu Sans"/>
        <family val="2"/>
      </rPr>
      <t>호</t>
    </r>
  </si>
  <si>
    <r>
      <rPr>
        <sz val="10"/>
        <rFont val="DejaVu Sans"/>
        <family val="2"/>
      </rPr>
      <t>스카이레이크신성장바이아웃</t>
    </r>
    <r>
      <rPr>
        <sz val="10"/>
        <rFont val="Arial"/>
        <family val="2"/>
      </rPr>
      <t>5</t>
    </r>
    <r>
      <rPr>
        <sz val="10"/>
        <rFont val="DejaVu Sans"/>
        <family val="2"/>
      </rPr>
      <t>호</t>
    </r>
  </si>
  <si>
    <r>
      <rPr>
        <sz val="10"/>
        <rFont val="DejaVu Sans"/>
        <family val="2"/>
      </rPr>
      <t>스카이레이크에쿼티제</t>
    </r>
    <r>
      <rPr>
        <sz val="10"/>
        <rFont val="Arial"/>
        <family val="2"/>
      </rPr>
      <t>1</t>
    </r>
    <r>
      <rPr>
        <sz val="10"/>
        <rFont val="DejaVu Sans"/>
        <family val="2"/>
      </rPr>
      <t>호</t>
    </r>
  </si>
  <si>
    <t>스카이스크래퍼롱텀스트래티직</t>
  </si>
  <si>
    <r>
      <rPr>
        <sz val="10"/>
        <rFont val="DejaVu Sans"/>
        <family val="2"/>
      </rPr>
      <t>스카이레이크신성장바이아웃</t>
    </r>
    <r>
      <rPr>
        <sz val="10"/>
        <rFont val="Arial"/>
        <family val="2"/>
      </rPr>
      <t>6</t>
    </r>
    <r>
      <rPr>
        <sz val="10"/>
        <rFont val="DejaVu Sans"/>
        <family val="2"/>
      </rPr>
      <t>호</t>
    </r>
  </si>
  <si>
    <r>
      <rPr>
        <sz val="10"/>
        <rFont val="DejaVu Sans"/>
        <family val="2"/>
      </rPr>
      <t>스타셋제</t>
    </r>
    <r>
      <rPr>
        <sz val="10"/>
        <rFont val="Arial"/>
        <family val="2"/>
      </rPr>
      <t>1</t>
    </r>
    <r>
      <rPr>
        <sz val="10"/>
        <rFont val="DejaVu Sans"/>
        <family val="2"/>
      </rPr>
      <t>호헬스케어기술금융창업벤처전문</t>
    </r>
  </si>
  <si>
    <r>
      <rPr>
        <sz val="10"/>
        <rFont val="DejaVu Sans"/>
        <family val="2"/>
      </rPr>
      <t>스타셋제</t>
    </r>
    <r>
      <rPr>
        <sz val="10"/>
        <rFont val="Arial"/>
        <family val="2"/>
      </rPr>
      <t>2</t>
    </r>
    <r>
      <rPr>
        <sz val="10"/>
        <rFont val="DejaVu Sans"/>
        <family val="2"/>
      </rPr>
      <t>호창업벤처전문</t>
    </r>
  </si>
  <si>
    <r>
      <rPr>
        <sz val="10"/>
        <rFont val="DejaVu Sans"/>
        <family val="2"/>
      </rPr>
      <t>스타셋제</t>
    </r>
    <r>
      <rPr>
        <sz val="10"/>
        <rFont val="Arial"/>
        <family val="2"/>
      </rPr>
      <t>3</t>
    </r>
    <r>
      <rPr>
        <sz val="10"/>
        <rFont val="DejaVu Sans"/>
        <family val="2"/>
      </rPr>
      <t>호창업벤처전문</t>
    </r>
  </si>
  <si>
    <r>
      <rPr>
        <sz val="10"/>
        <rFont val="DejaVu Sans"/>
        <family val="2"/>
      </rPr>
      <t>스탠다드키움</t>
    </r>
    <r>
      <rPr>
        <sz val="10"/>
        <rFont val="Arial"/>
        <family val="2"/>
      </rPr>
      <t>2021</t>
    </r>
    <r>
      <rPr>
        <sz val="10"/>
        <rFont val="DejaVu Sans"/>
        <family val="2"/>
      </rPr>
      <t>제</t>
    </r>
    <r>
      <rPr>
        <sz val="10"/>
        <rFont val="Arial"/>
        <family val="2"/>
      </rPr>
      <t>1</t>
    </r>
    <r>
      <rPr>
        <sz val="10"/>
        <rFont val="DejaVu Sans"/>
        <family val="2"/>
      </rPr>
      <t>호기업재무안정</t>
    </r>
  </si>
  <si>
    <r>
      <rPr>
        <sz val="10"/>
        <rFont val="DejaVu Sans"/>
        <family val="2"/>
      </rPr>
      <t>유에스그리드배터리</t>
    </r>
    <r>
      <rPr>
        <sz val="10"/>
        <rFont val="Arial"/>
        <family val="2"/>
      </rPr>
      <t>1</t>
    </r>
    <r>
      <rPr>
        <sz val="10"/>
        <rFont val="DejaVu Sans"/>
        <family val="2"/>
      </rPr>
      <t>호</t>
    </r>
  </si>
  <si>
    <r>
      <rPr>
        <sz val="10"/>
        <rFont val="DejaVu Sans"/>
        <family val="2"/>
      </rPr>
      <t>스텔라이브이배터리</t>
    </r>
    <r>
      <rPr>
        <sz val="10"/>
        <rFont val="Arial"/>
        <family val="2"/>
      </rPr>
      <t>1</t>
    </r>
    <r>
      <rPr>
        <sz val="10"/>
        <rFont val="DejaVu Sans"/>
        <family val="2"/>
      </rPr>
      <t>호</t>
    </r>
  </si>
  <si>
    <t>스톤브릿지티케고성장</t>
  </si>
  <si>
    <t>아이비케이스톤브릿지혁신성장</t>
  </si>
  <si>
    <t>스톤브릿지티케브릿징</t>
  </si>
  <si>
    <t>아이비케이스톤브릿지뉴딜이에스지유니콘</t>
  </si>
  <si>
    <t>스톤브릿지하이랜드헬스케어</t>
  </si>
  <si>
    <t>케이비스톤브릿지세컨더리</t>
  </si>
  <si>
    <t>에스케이에스스톤브릿지에스케이동남아코퍼레이트파트너쉽</t>
  </si>
  <si>
    <r>
      <rPr>
        <sz val="10"/>
        <rFont val="DejaVu Sans"/>
        <family val="2"/>
      </rPr>
      <t>스톤브릿지미드캡제</t>
    </r>
    <r>
      <rPr>
        <sz val="10"/>
        <rFont val="Arial"/>
        <family val="2"/>
      </rPr>
      <t>1</t>
    </r>
    <r>
      <rPr>
        <sz val="10"/>
        <rFont val="DejaVu Sans"/>
        <family val="2"/>
      </rPr>
      <t>호</t>
    </r>
  </si>
  <si>
    <t>스톤브릿지페이먼츠</t>
  </si>
  <si>
    <t>스톤브릿지벤투스</t>
  </si>
  <si>
    <r>
      <rPr>
        <sz val="10"/>
        <rFont val="DejaVu Sans"/>
        <family val="2"/>
      </rPr>
      <t>스톤브릿지에쿼티오퍼튜니티제</t>
    </r>
    <r>
      <rPr>
        <sz val="10"/>
        <rFont val="Arial"/>
        <family val="2"/>
      </rPr>
      <t>2</t>
    </r>
    <r>
      <rPr>
        <sz val="10"/>
        <rFont val="DejaVu Sans"/>
        <family val="2"/>
      </rPr>
      <t>호의</t>
    </r>
    <r>
      <rPr>
        <sz val="10"/>
        <rFont val="Arial"/>
        <family val="2"/>
      </rPr>
      <t>1</t>
    </r>
  </si>
  <si>
    <r>
      <rPr>
        <sz val="10"/>
        <rFont val="DejaVu Sans"/>
        <family val="2"/>
      </rPr>
      <t>스톤브릿지에쿼티오퍼튜니티제</t>
    </r>
    <r>
      <rPr>
        <sz val="10"/>
        <rFont val="Arial"/>
        <family val="2"/>
      </rPr>
      <t>2</t>
    </r>
    <r>
      <rPr>
        <sz val="10"/>
        <rFont val="DejaVu Sans"/>
        <family val="2"/>
      </rPr>
      <t>호의</t>
    </r>
    <r>
      <rPr>
        <sz val="10"/>
        <rFont val="Arial"/>
        <family val="2"/>
      </rPr>
      <t>2</t>
    </r>
  </si>
  <si>
    <r>
      <rPr>
        <sz val="10"/>
        <rFont val="DejaVu Sans"/>
        <family val="2"/>
      </rPr>
      <t>스톤브릿지퀀텀제</t>
    </r>
    <r>
      <rPr>
        <sz val="10"/>
        <rFont val="Arial"/>
        <family val="2"/>
      </rPr>
      <t>2</t>
    </r>
    <r>
      <rPr>
        <sz val="10"/>
        <rFont val="DejaVu Sans"/>
        <family val="2"/>
      </rPr>
      <t>호</t>
    </r>
  </si>
  <si>
    <r>
      <rPr>
        <sz val="10"/>
        <rFont val="DejaVu Sans"/>
        <family val="2"/>
      </rPr>
      <t>스톤브릿지퀀텀제</t>
    </r>
    <r>
      <rPr>
        <sz val="10"/>
        <rFont val="Arial"/>
        <family val="2"/>
      </rPr>
      <t>3</t>
    </r>
    <r>
      <rPr>
        <sz val="10"/>
        <rFont val="DejaVu Sans"/>
        <family val="2"/>
      </rPr>
      <t>호</t>
    </r>
  </si>
  <si>
    <t>스톤브릿지에비타스</t>
  </si>
  <si>
    <t>스틱헬스케어아이</t>
  </si>
  <si>
    <r>
      <rPr>
        <sz val="10"/>
        <rFont val="DejaVu Sans"/>
        <family val="2"/>
      </rPr>
      <t>스틱에이엘티글로벌제</t>
    </r>
    <r>
      <rPr>
        <sz val="10"/>
        <rFont val="Arial"/>
        <family val="2"/>
      </rPr>
      <t>2</t>
    </r>
    <r>
      <rPr>
        <sz val="10"/>
        <rFont val="DejaVu Sans"/>
        <family val="2"/>
      </rPr>
      <t>호</t>
    </r>
  </si>
  <si>
    <r>
      <rPr>
        <sz val="10"/>
        <rFont val="DejaVu Sans"/>
        <family val="2"/>
      </rPr>
      <t>스틱팬아시아</t>
    </r>
    <r>
      <rPr>
        <sz val="10"/>
        <rFont val="Arial"/>
        <family val="2"/>
      </rPr>
      <t>4</t>
    </r>
    <r>
      <rPr>
        <sz val="10"/>
        <rFont val="DejaVu Sans"/>
        <family val="2"/>
      </rPr>
      <t>차산업그로쓰</t>
    </r>
  </si>
  <si>
    <r>
      <rPr>
        <sz val="10"/>
        <rFont val="DejaVu Sans"/>
        <family val="2"/>
      </rPr>
      <t>스틱스페셜시츄에이션제</t>
    </r>
    <r>
      <rPr>
        <sz val="10"/>
        <rFont val="Arial"/>
        <family val="2"/>
      </rPr>
      <t>2</t>
    </r>
    <r>
      <rPr>
        <sz val="10"/>
        <rFont val="DejaVu Sans"/>
        <family val="2"/>
      </rPr>
      <t>호</t>
    </r>
  </si>
  <si>
    <t>스틱글로벌혁신성장</t>
  </si>
  <si>
    <r>
      <rPr>
        <sz val="10"/>
        <rFont val="DejaVu Sans"/>
        <family val="2"/>
      </rPr>
      <t>스틱스페셜시츄에이션에버그린제</t>
    </r>
    <r>
      <rPr>
        <sz val="10"/>
        <rFont val="Arial"/>
        <family val="2"/>
      </rPr>
      <t>1</t>
    </r>
    <r>
      <rPr>
        <sz val="10"/>
        <rFont val="DejaVu Sans"/>
        <family val="2"/>
      </rPr>
      <t>호</t>
    </r>
  </si>
  <si>
    <r>
      <rPr>
        <sz val="10"/>
        <rFont val="DejaVu Sans"/>
        <family val="2"/>
      </rPr>
      <t>스틱스페셜시츄에이션에버그린제</t>
    </r>
    <r>
      <rPr>
        <sz val="10"/>
        <rFont val="Arial"/>
        <family val="2"/>
      </rPr>
      <t>2</t>
    </r>
    <r>
      <rPr>
        <sz val="10"/>
        <rFont val="DejaVu Sans"/>
        <family val="2"/>
      </rPr>
      <t>호</t>
    </r>
  </si>
  <si>
    <t>스틱스페셜시츄에이션윈</t>
  </si>
  <si>
    <t>스틱아시아인프라스트럭쳐이노베이션</t>
  </si>
  <si>
    <t>스틱오퍼튜니티제삼호</t>
  </si>
  <si>
    <t>스틱오퍼튜니티제삼호사이드카제이호</t>
  </si>
  <si>
    <t>스틱오퍼튜니티제삼호사이드카제일호</t>
  </si>
  <si>
    <t>스틱유진스타</t>
  </si>
  <si>
    <t>스틱케이그로쓰</t>
  </si>
  <si>
    <r>
      <rPr>
        <sz val="10"/>
        <rFont val="DejaVu Sans"/>
        <family val="2"/>
      </rPr>
      <t>스틱스트레티직크레딧제</t>
    </r>
    <r>
      <rPr>
        <sz val="10"/>
        <rFont val="Arial"/>
        <family val="2"/>
      </rPr>
      <t>2</t>
    </r>
    <r>
      <rPr>
        <sz val="10"/>
        <rFont val="DejaVu Sans"/>
        <family val="2"/>
      </rPr>
      <t>호</t>
    </r>
  </si>
  <si>
    <r>
      <rPr>
        <sz val="10"/>
        <rFont val="DejaVu Sans"/>
        <family val="2"/>
      </rPr>
      <t>케이디비스틱지역성장제</t>
    </r>
    <r>
      <rPr>
        <sz val="10"/>
        <rFont val="Arial"/>
        <family val="2"/>
      </rPr>
      <t>1</t>
    </r>
    <r>
      <rPr>
        <sz val="10"/>
        <rFont val="DejaVu Sans"/>
        <family val="2"/>
      </rPr>
      <t>호</t>
    </r>
  </si>
  <si>
    <r>
      <rPr>
        <sz val="10"/>
        <rFont val="DejaVu Sans"/>
        <family val="2"/>
      </rPr>
      <t>스마트헬스케어제</t>
    </r>
    <r>
      <rPr>
        <sz val="10"/>
        <rFont val="Arial"/>
        <family val="2"/>
      </rPr>
      <t>2</t>
    </r>
    <r>
      <rPr>
        <sz val="10"/>
        <rFont val="DejaVu Sans"/>
        <family val="2"/>
      </rPr>
      <t>호</t>
    </r>
  </si>
  <si>
    <r>
      <rPr>
        <sz val="10"/>
        <rFont val="DejaVu Sans"/>
        <family val="2"/>
      </rPr>
      <t>시냅틱그린소부장제</t>
    </r>
    <r>
      <rPr>
        <sz val="10"/>
        <rFont val="Arial"/>
        <family val="2"/>
      </rPr>
      <t>1</t>
    </r>
    <r>
      <rPr>
        <sz val="10"/>
        <rFont val="DejaVu Sans"/>
        <family val="2"/>
      </rPr>
      <t>호</t>
    </r>
  </si>
  <si>
    <r>
      <rPr>
        <sz val="10"/>
        <rFont val="DejaVu Sans"/>
        <family val="2"/>
      </rPr>
      <t>시냅틱미래성장제</t>
    </r>
    <r>
      <rPr>
        <sz val="10"/>
        <rFont val="Arial"/>
        <family val="2"/>
      </rPr>
      <t>1</t>
    </r>
    <r>
      <rPr>
        <sz val="10"/>
        <rFont val="DejaVu Sans"/>
        <family val="2"/>
      </rPr>
      <t>호</t>
    </r>
  </si>
  <si>
    <r>
      <rPr>
        <sz val="10"/>
        <rFont val="DejaVu Sans"/>
        <family val="2"/>
      </rPr>
      <t>시냅틱혁신성장제</t>
    </r>
    <r>
      <rPr>
        <sz val="10"/>
        <rFont val="Arial"/>
        <family val="2"/>
      </rPr>
      <t>1</t>
    </r>
    <r>
      <rPr>
        <sz val="10"/>
        <rFont val="DejaVu Sans"/>
        <family val="2"/>
      </rPr>
      <t>호</t>
    </r>
  </si>
  <si>
    <r>
      <rPr>
        <sz val="10"/>
        <rFont val="DejaVu Sans"/>
        <family val="2"/>
      </rPr>
      <t>시몬느에비에이션제</t>
    </r>
    <r>
      <rPr>
        <sz val="10"/>
        <rFont val="Arial"/>
        <family val="2"/>
      </rPr>
      <t>1</t>
    </r>
    <r>
      <rPr>
        <sz val="10"/>
        <rFont val="DejaVu Sans"/>
        <family val="2"/>
      </rPr>
      <t>호</t>
    </r>
  </si>
  <si>
    <r>
      <rPr>
        <sz val="10"/>
        <rFont val="DejaVu Sans"/>
        <family val="2"/>
      </rPr>
      <t>토탈패키징제</t>
    </r>
    <r>
      <rPr>
        <sz val="10"/>
        <rFont val="Arial"/>
        <family val="2"/>
      </rPr>
      <t>1</t>
    </r>
    <r>
      <rPr>
        <sz val="10"/>
        <rFont val="DejaVu Sans"/>
        <family val="2"/>
      </rPr>
      <t>호</t>
    </r>
  </si>
  <si>
    <t>시에라구독경제</t>
  </si>
  <si>
    <r>
      <rPr>
        <sz val="10"/>
        <rFont val="DejaVu Sans"/>
        <family val="2"/>
      </rPr>
      <t>네오플럭스제</t>
    </r>
    <r>
      <rPr>
        <sz val="10"/>
        <rFont val="Arial"/>
        <family val="2"/>
      </rPr>
      <t>3</t>
    </r>
    <r>
      <rPr>
        <sz val="10"/>
        <rFont val="DejaVu Sans"/>
        <family val="2"/>
      </rPr>
      <t>호</t>
    </r>
  </si>
  <si>
    <t>제이에스신한</t>
  </si>
  <si>
    <r>
      <rPr>
        <sz val="10"/>
        <rFont val="DejaVu Sans"/>
        <family val="2"/>
      </rPr>
      <t>신한위벤처뎁</t>
    </r>
    <r>
      <rPr>
        <sz val="10"/>
        <rFont val="Arial"/>
        <family val="2"/>
      </rPr>
      <t>1</t>
    </r>
    <r>
      <rPr>
        <sz val="10"/>
        <rFont val="DejaVu Sans"/>
        <family val="2"/>
      </rPr>
      <t>호</t>
    </r>
  </si>
  <si>
    <t>신한에스케이에스기업재무안정</t>
  </si>
  <si>
    <t>씨브이제이호기업재무안정</t>
  </si>
  <si>
    <r>
      <rPr>
        <sz val="10"/>
        <rFont val="DejaVu Sans"/>
        <family val="2"/>
      </rPr>
      <t>씨에스비</t>
    </r>
    <r>
      <rPr>
        <sz val="10"/>
        <rFont val="Arial"/>
        <family val="2"/>
      </rPr>
      <t>1</t>
    </r>
    <r>
      <rPr>
        <sz val="10"/>
        <rFont val="DejaVu Sans"/>
        <family val="2"/>
      </rPr>
      <t>호</t>
    </r>
  </si>
  <si>
    <t>씨씨지아이알바트로스</t>
  </si>
  <si>
    <t>씨씨지아이엔엘씨리오프닝</t>
  </si>
  <si>
    <t>씨앤코어타임</t>
  </si>
  <si>
    <t>큐리어스씨엘볼티지제이차기관전용</t>
  </si>
  <si>
    <t>큐리어스칸기관전용</t>
  </si>
  <si>
    <r>
      <rPr>
        <sz val="10"/>
        <rFont val="DejaVu Sans"/>
        <family val="2"/>
      </rPr>
      <t>씨제이엘제</t>
    </r>
    <r>
      <rPr>
        <sz val="10"/>
        <rFont val="Arial"/>
        <family val="2"/>
      </rPr>
      <t>1</t>
    </r>
    <r>
      <rPr>
        <sz val="10"/>
        <rFont val="DejaVu Sans"/>
        <family val="2"/>
      </rPr>
      <t>호</t>
    </r>
  </si>
  <si>
    <r>
      <rPr>
        <sz val="10"/>
        <rFont val="DejaVu Sans"/>
        <family val="2"/>
      </rPr>
      <t>씨피그로쓰캐피탈제</t>
    </r>
    <r>
      <rPr>
        <sz val="10"/>
        <rFont val="Arial"/>
        <family val="2"/>
      </rPr>
      <t>1</t>
    </r>
    <r>
      <rPr>
        <sz val="10"/>
        <rFont val="DejaVu Sans"/>
        <family val="2"/>
      </rPr>
      <t>호</t>
    </r>
  </si>
  <si>
    <t>아든파트너스유케이엠에스에이</t>
  </si>
  <si>
    <r>
      <rPr>
        <sz val="10"/>
        <rFont val="DejaVu Sans"/>
        <family val="2"/>
      </rPr>
      <t>아든우리어페럴제</t>
    </r>
    <r>
      <rPr>
        <sz val="10"/>
        <rFont val="Arial"/>
        <family val="2"/>
      </rPr>
      <t>1</t>
    </r>
    <r>
      <rPr>
        <sz val="10"/>
        <rFont val="DejaVu Sans"/>
        <family val="2"/>
      </rPr>
      <t>호</t>
    </r>
  </si>
  <si>
    <t>아든워크플렉스</t>
  </si>
  <si>
    <r>
      <rPr>
        <sz val="10"/>
        <rFont val="DejaVu Sans"/>
        <family val="2"/>
      </rPr>
      <t>아든코스메틱스제</t>
    </r>
    <r>
      <rPr>
        <sz val="10"/>
        <rFont val="Arial"/>
        <family val="2"/>
      </rPr>
      <t>1</t>
    </r>
    <r>
      <rPr>
        <sz val="10"/>
        <rFont val="DejaVu Sans"/>
        <family val="2"/>
      </rPr>
      <t>호창업벤처전문</t>
    </r>
  </si>
  <si>
    <t>아든엠씨에코팩</t>
  </si>
  <si>
    <t>아르게스에이원창업벤처전문</t>
  </si>
  <si>
    <r>
      <rPr>
        <sz val="10"/>
        <rFont val="DejaVu Sans"/>
        <family val="2"/>
      </rPr>
      <t>아르게스그로쓰캐피탈제</t>
    </r>
    <r>
      <rPr>
        <sz val="10"/>
        <rFont val="Arial"/>
        <family val="2"/>
      </rPr>
      <t>1</t>
    </r>
    <r>
      <rPr>
        <sz val="10"/>
        <rFont val="DejaVu Sans"/>
        <family val="2"/>
      </rPr>
      <t>호</t>
    </r>
  </si>
  <si>
    <r>
      <rPr>
        <sz val="10"/>
        <rFont val="DejaVu Sans"/>
        <family val="2"/>
      </rPr>
      <t>아르게스케이컬처제</t>
    </r>
    <r>
      <rPr>
        <sz val="10"/>
        <rFont val="Arial"/>
        <family val="2"/>
      </rPr>
      <t>1</t>
    </r>
    <r>
      <rPr>
        <sz val="10"/>
        <rFont val="DejaVu Sans"/>
        <family val="2"/>
      </rPr>
      <t>호</t>
    </r>
  </si>
  <si>
    <t>아이디지에너지</t>
  </si>
  <si>
    <r>
      <rPr>
        <sz val="10"/>
        <rFont val="DejaVu Sans"/>
        <family val="2"/>
      </rPr>
      <t>에스케이아이엘에코제</t>
    </r>
    <r>
      <rPr>
        <sz val="10"/>
        <rFont val="Arial"/>
        <family val="2"/>
      </rPr>
      <t>1</t>
    </r>
    <r>
      <rPr>
        <sz val="10"/>
        <rFont val="DejaVu Sans"/>
        <family val="2"/>
      </rPr>
      <t>호그린뉴딜</t>
    </r>
  </si>
  <si>
    <t>한국투자아이비케이씨혁신성장</t>
  </si>
  <si>
    <t>아이비케이에스중소기업도약</t>
  </si>
  <si>
    <t>유암코아이비케이금융그룹기업재무안정</t>
  </si>
  <si>
    <r>
      <rPr>
        <sz val="10"/>
        <rFont val="DejaVu Sans"/>
        <family val="2"/>
      </rPr>
      <t>씨</t>
    </r>
    <r>
      <rPr>
        <sz val="10"/>
        <rFont val="Arial"/>
        <family val="2"/>
      </rPr>
      <t>47</t>
    </r>
    <r>
      <rPr>
        <sz val="10"/>
        <rFont val="DejaVu Sans"/>
        <family val="2"/>
      </rPr>
      <t>인베스트먼트콘텐츠웨이브오리지널콘텐츠제</t>
    </r>
    <r>
      <rPr>
        <sz val="10"/>
        <rFont val="Arial"/>
        <family val="2"/>
      </rPr>
      <t>2</t>
    </r>
    <r>
      <rPr>
        <sz val="10"/>
        <rFont val="DejaVu Sans"/>
        <family val="2"/>
      </rPr>
      <t>호창업벤처전문</t>
    </r>
  </si>
  <si>
    <t>전천당</t>
  </si>
  <si>
    <r>
      <rPr>
        <sz val="10"/>
        <rFont val="DejaVu Sans"/>
        <family val="2"/>
      </rPr>
      <t>아이엠엠인프라제</t>
    </r>
    <r>
      <rPr>
        <sz val="10"/>
        <rFont val="Arial"/>
        <family val="2"/>
      </rPr>
      <t>4</t>
    </r>
    <r>
      <rPr>
        <sz val="10"/>
        <rFont val="DejaVu Sans"/>
        <family val="2"/>
      </rPr>
      <t>호</t>
    </r>
  </si>
  <si>
    <r>
      <rPr>
        <sz val="10"/>
        <rFont val="DejaVu Sans"/>
        <family val="2"/>
      </rPr>
      <t>아이엠엠인베스트먼트</t>
    </r>
    <r>
      <rPr>
        <sz val="10"/>
        <rFont val="Arial"/>
        <family val="2"/>
      </rPr>
      <t>4</t>
    </r>
    <r>
      <rPr>
        <sz val="10"/>
        <rFont val="DejaVu Sans"/>
        <family val="2"/>
      </rPr>
      <t>호</t>
    </r>
  </si>
  <si>
    <t>에코리아</t>
  </si>
  <si>
    <t>에트라</t>
  </si>
  <si>
    <r>
      <rPr>
        <sz val="10"/>
        <rFont val="DejaVu Sans"/>
        <family val="2"/>
      </rPr>
      <t>에트라제</t>
    </r>
    <r>
      <rPr>
        <sz val="10"/>
        <rFont val="Arial"/>
        <family val="2"/>
      </rPr>
      <t>2</t>
    </r>
    <r>
      <rPr>
        <sz val="10"/>
        <rFont val="DejaVu Sans"/>
        <family val="2"/>
      </rPr>
      <t>호</t>
    </r>
  </si>
  <si>
    <r>
      <rPr>
        <sz val="10"/>
        <rFont val="DejaVu Sans"/>
        <family val="2"/>
      </rPr>
      <t>아이엠엠스페셜시츄에이션</t>
    </r>
    <r>
      <rPr>
        <sz val="10"/>
        <rFont val="Arial"/>
        <family val="2"/>
      </rPr>
      <t>1</t>
    </r>
    <r>
      <rPr>
        <sz val="10"/>
        <rFont val="DejaVu Sans"/>
        <family val="2"/>
      </rPr>
      <t>호</t>
    </r>
  </si>
  <si>
    <r>
      <rPr>
        <sz val="10"/>
        <rFont val="DejaVu Sans"/>
        <family val="2"/>
      </rPr>
      <t>아이엠엠인프라제</t>
    </r>
    <r>
      <rPr>
        <sz val="10"/>
        <rFont val="Arial"/>
        <family val="2"/>
      </rPr>
      <t>7</t>
    </r>
    <r>
      <rPr>
        <sz val="10"/>
        <rFont val="DejaVu Sans"/>
        <family val="2"/>
      </rPr>
      <t>호</t>
    </r>
  </si>
  <si>
    <r>
      <rPr>
        <sz val="10"/>
        <rFont val="DejaVu Sans"/>
        <family val="2"/>
      </rPr>
      <t>아이엠엠크레딧</t>
    </r>
    <r>
      <rPr>
        <sz val="10"/>
        <rFont val="Arial"/>
        <family val="2"/>
      </rPr>
      <t>3</t>
    </r>
    <r>
      <rPr>
        <sz val="10"/>
        <rFont val="DejaVu Sans"/>
        <family val="2"/>
      </rPr>
      <t>호</t>
    </r>
  </si>
  <si>
    <r>
      <rPr>
        <sz val="10"/>
        <rFont val="DejaVu Sans"/>
        <family val="2"/>
      </rPr>
      <t>에트라제</t>
    </r>
    <r>
      <rPr>
        <sz val="10"/>
        <rFont val="Arial"/>
        <family val="2"/>
      </rPr>
      <t>3</t>
    </r>
    <r>
      <rPr>
        <sz val="10"/>
        <rFont val="DejaVu Sans"/>
        <family val="2"/>
      </rPr>
      <t>의</t>
    </r>
    <r>
      <rPr>
        <sz val="10"/>
        <rFont val="Arial"/>
        <family val="2"/>
      </rPr>
      <t>1</t>
    </r>
    <r>
      <rPr>
        <sz val="10"/>
        <rFont val="DejaVu Sans"/>
        <family val="2"/>
      </rPr>
      <t>호</t>
    </r>
  </si>
  <si>
    <r>
      <rPr>
        <sz val="10"/>
        <rFont val="DejaVu Sans"/>
        <family val="2"/>
      </rPr>
      <t>페트라</t>
    </r>
    <r>
      <rPr>
        <sz val="10"/>
        <rFont val="Arial"/>
        <family val="2"/>
      </rPr>
      <t>7</t>
    </r>
    <r>
      <rPr>
        <sz val="10"/>
        <rFont val="DejaVu Sans"/>
        <family val="2"/>
      </rPr>
      <t>호</t>
    </r>
  </si>
  <si>
    <r>
      <rPr>
        <sz val="10"/>
        <rFont val="Arial"/>
        <family val="2"/>
      </rPr>
      <t>IMM</t>
    </r>
    <r>
      <rPr>
        <sz val="10"/>
        <rFont val="DejaVu Sans"/>
        <family val="2"/>
      </rPr>
      <t>한국투자크레딧</t>
    </r>
    <r>
      <rPr>
        <sz val="10"/>
        <rFont val="Arial"/>
        <family val="2"/>
      </rPr>
      <t>2</t>
    </r>
    <r>
      <rPr>
        <sz val="10"/>
        <rFont val="DejaVu Sans"/>
        <family val="2"/>
      </rPr>
      <t>호</t>
    </r>
  </si>
  <si>
    <t>아이엠엠글로벌</t>
  </si>
  <si>
    <r>
      <rPr>
        <sz val="10"/>
        <rFont val="DejaVu Sans"/>
        <family val="2"/>
      </rPr>
      <t>아이엠엠인프라제</t>
    </r>
    <r>
      <rPr>
        <sz val="10"/>
        <rFont val="Arial"/>
        <family val="2"/>
      </rPr>
      <t>8</t>
    </r>
    <r>
      <rPr>
        <sz val="10"/>
        <rFont val="DejaVu Sans"/>
        <family val="2"/>
      </rPr>
      <t>호</t>
    </r>
  </si>
  <si>
    <t>케이티씨유글로벌파트너쉽</t>
  </si>
  <si>
    <r>
      <rPr>
        <sz val="10"/>
        <rFont val="DejaVu Sans"/>
        <family val="2"/>
      </rPr>
      <t>아이엠엠스페셜시츄에이션</t>
    </r>
    <r>
      <rPr>
        <sz val="10"/>
        <rFont val="Arial"/>
        <family val="2"/>
      </rPr>
      <t>1</t>
    </r>
    <r>
      <rPr>
        <sz val="10"/>
        <rFont val="DejaVu Sans"/>
        <family val="2"/>
      </rPr>
      <t>의</t>
    </r>
    <r>
      <rPr>
        <sz val="10"/>
        <rFont val="Arial"/>
        <family val="2"/>
      </rPr>
      <t>2</t>
    </r>
    <r>
      <rPr>
        <sz val="10"/>
        <rFont val="DejaVu Sans"/>
        <family val="2"/>
      </rPr>
      <t>호</t>
    </r>
  </si>
  <si>
    <r>
      <rPr>
        <sz val="10"/>
        <rFont val="DejaVu Sans"/>
        <family val="2"/>
      </rPr>
      <t>아이엠엠인프라제</t>
    </r>
    <r>
      <rPr>
        <sz val="10"/>
        <rFont val="Arial"/>
        <family val="2"/>
      </rPr>
      <t>8</t>
    </r>
    <r>
      <rPr>
        <sz val="10"/>
        <rFont val="DejaVu Sans"/>
        <family val="2"/>
      </rPr>
      <t>호의알파</t>
    </r>
  </si>
  <si>
    <r>
      <rPr>
        <sz val="10"/>
        <rFont val="DejaVu Sans"/>
        <family val="2"/>
      </rPr>
      <t>아이엠엠인프라제</t>
    </r>
    <r>
      <rPr>
        <sz val="10"/>
        <rFont val="Arial"/>
        <family val="2"/>
      </rPr>
      <t>9</t>
    </r>
    <r>
      <rPr>
        <sz val="10"/>
        <rFont val="DejaVu Sans"/>
        <family val="2"/>
      </rPr>
      <t>호</t>
    </r>
  </si>
  <si>
    <r>
      <rPr>
        <sz val="10"/>
        <rFont val="DejaVu Sans"/>
        <family val="2"/>
      </rPr>
      <t>페트라</t>
    </r>
    <r>
      <rPr>
        <sz val="10"/>
        <rFont val="Arial"/>
        <family val="2"/>
      </rPr>
      <t>8</t>
    </r>
    <r>
      <rPr>
        <sz val="10"/>
        <rFont val="DejaVu Sans"/>
        <family val="2"/>
      </rPr>
      <t>호</t>
    </r>
  </si>
  <si>
    <r>
      <rPr>
        <sz val="10"/>
        <rFont val="DejaVu Sans"/>
        <family val="2"/>
      </rPr>
      <t>아이엠엠인프라제</t>
    </r>
    <r>
      <rPr>
        <sz val="10"/>
        <rFont val="Arial"/>
        <family val="2"/>
      </rPr>
      <t>9</t>
    </r>
    <r>
      <rPr>
        <sz val="10"/>
        <rFont val="DejaVu Sans"/>
        <family val="2"/>
      </rPr>
      <t>호의알파</t>
    </r>
  </si>
  <si>
    <r>
      <rPr>
        <sz val="10"/>
        <rFont val="DejaVu Sans"/>
        <family val="2"/>
      </rPr>
      <t>아이엠엠해외세컨더리제</t>
    </r>
    <r>
      <rPr>
        <sz val="10"/>
        <rFont val="Arial"/>
        <family val="2"/>
      </rPr>
      <t>1</t>
    </r>
    <r>
      <rPr>
        <sz val="10"/>
        <rFont val="DejaVu Sans"/>
        <family val="2"/>
      </rPr>
      <t>의</t>
    </r>
    <r>
      <rPr>
        <sz val="10"/>
        <rFont val="Arial"/>
        <family val="2"/>
      </rPr>
      <t>1</t>
    </r>
    <r>
      <rPr>
        <sz val="10"/>
        <rFont val="DejaVu Sans"/>
        <family val="2"/>
      </rPr>
      <t>호</t>
    </r>
  </si>
  <si>
    <r>
      <rPr>
        <sz val="10"/>
        <rFont val="DejaVu Sans"/>
        <family val="2"/>
      </rPr>
      <t>아이엠엠해외세컨더리제</t>
    </r>
    <r>
      <rPr>
        <sz val="10"/>
        <rFont val="Arial"/>
        <family val="2"/>
      </rPr>
      <t>1</t>
    </r>
    <r>
      <rPr>
        <sz val="10"/>
        <rFont val="DejaVu Sans"/>
        <family val="2"/>
      </rPr>
      <t>의</t>
    </r>
    <r>
      <rPr>
        <sz val="10"/>
        <rFont val="Arial"/>
        <family val="2"/>
      </rPr>
      <t>2</t>
    </r>
    <r>
      <rPr>
        <sz val="10"/>
        <rFont val="DejaVu Sans"/>
        <family val="2"/>
      </rPr>
      <t>호</t>
    </r>
  </si>
  <si>
    <r>
      <rPr>
        <sz val="10"/>
        <rFont val="DejaVu Sans"/>
        <family val="2"/>
      </rPr>
      <t>페트라</t>
    </r>
    <r>
      <rPr>
        <sz val="10"/>
        <rFont val="Arial"/>
        <family val="2"/>
      </rPr>
      <t>9</t>
    </r>
    <r>
      <rPr>
        <sz val="10"/>
        <rFont val="DejaVu Sans"/>
        <family val="2"/>
      </rPr>
      <t>호</t>
    </r>
  </si>
  <si>
    <t>아이엠엠인프라에코</t>
  </si>
  <si>
    <r>
      <rPr>
        <sz val="10"/>
        <rFont val="DejaVu Sans"/>
        <family val="2"/>
      </rPr>
      <t>아이엠엠인프라제</t>
    </r>
    <r>
      <rPr>
        <sz val="10"/>
        <rFont val="Arial"/>
        <family val="2"/>
      </rPr>
      <t>9</t>
    </r>
    <r>
      <rPr>
        <sz val="10"/>
        <rFont val="DejaVu Sans"/>
        <family val="2"/>
      </rPr>
      <t>호의감마</t>
    </r>
  </si>
  <si>
    <r>
      <rPr>
        <sz val="10"/>
        <rFont val="DejaVu Sans"/>
        <family val="2"/>
      </rPr>
      <t>아이엠엠인프라제</t>
    </r>
    <r>
      <rPr>
        <sz val="10"/>
        <rFont val="Arial"/>
        <family val="2"/>
      </rPr>
      <t>9</t>
    </r>
    <r>
      <rPr>
        <sz val="10"/>
        <rFont val="DejaVu Sans"/>
        <family val="2"/>
      </rPr>
      <t>호의베타</t>
    </r>
  </si>
  <si>
    <r>
      <rPr>
        <sz val="10"/>
        <rFont val="DejaVu Sans"/>
        <family val="2"/>
      </rPr>
      <t>아이엠엠코리아에코</t>
    </r>
    <r>
      <rPr>
        <sz val="10"/>
        <rFont val="Arial"/>
        <family val="2"/>
      </rPr>
      <t>1</t>
    </r>
    <r>
      <rPr>
        <sz val="10"/>
        <rFont val="DejaVu Sans"/>
        <family val="2"/>
      </rPr>
      <t>호코인베스트</t>
    </r>
  </si>
  <si>
    <r>
      <rPr>
        <sz val="10"/>
        <rFont val="DejaVu Sans"/>
        <family val="2"/>
      </rPr>
      <t>아이엠엠해외대출채권담보부증권제</t>
    </r>
    <r>
      <rPr>
        <sz val="10"/>
        <rFont val="Arial"/>
        <family val="2"/>
      </rPr>
      <t>1</t>
    </r>
    <r>
      <rPr>
        <sz val="10"/>
        <rFont val="DejaVu Sans"/>
        <family val="2"/>
      </rPr>
      <t>호</t>
    </r>
  </si>
  <si>
    <t>케이비아이엠엠뉴스타부동산제일호</t>
  </si>
  <si>
    <r>
      <rPr>
        <sz val="10"/>
        <rFont val="DejaVu Sans"/>
        <family val="2"/>
      </rPr>
      <t>아이엠엠케이바이오퓨쳐스제</t>
    </r>
    <r>
      <rPr>
        <sz val="10"/>
        <rFont val="Arial"/>
        <family val="2"/>
      </rPr>
      <t>1</t>
    </r>
    <r>
      <rPr>
        <sz val="10"/>
        <rFont val="DejaVu Sans"/>
        <family val="2"/>
      </rPr>
      <t>호</t>
    </r>
  </si>
  <si>
    <t>아이엠엠에코솔루션</t>
  </si>
  <si>
    <t>코리아배터리앤이에스지</t>
  </si>
  <si>
    <r>
      <rPr>
        <sz val="10"/>
        <rFont val="DejaVu Sans"/>
        <family val="2"/>
      </rPr>
      <t>아이엠엠디지털인프라솔루션</t>
    </r>
    <r>
      <rPr>
        <sz val="10"/>
        <rFont val="Arial"/>
        <family val="2"/>
      </rPr>
      <t>1</t>
    </r>
    <r>
      <rPr>
        <sz val="10"/>
        <rFont val="DejaVu Sans"/>
        <family val="2"/>
      </rPr>
      <t>호</t>
    </r>
  </si>
  <si>
    <r>
      <rPr>
        <sz val="10"/>
        <rFont val="DejaVu Sans"/>
        <family val="2"/>
      </rPr>
      <t>아이엠엠로즈골드</t>
    </r>
    <r>
      <rPr>
        <sz val="10"/>
        <rFont val="Arial"/>
        <family val="2"/>
      </rPr>
      <t>3</t>
    </r>
  </si>
  <si>
    <r>
      <rPr>
        <sz val="10"/>
        <rFont val="DejaVu Sans"/>
        <family val="2"/>
      </rPr>
      <t>아이엠엠로즈골드</t>
    </r>
    <r>
      <rPr>
        <sz val="10"/>
        <rFont val="Arial"/>
        <family val="2"/>
      </rPr>
      <t>3</t>
    </r>
    <r>
      <rPr>
        <sz val="10"/>
        <rFont val="DejaVu Sans"/>
        <family val="2"/>
      </rPr>
      <t>알파</t>
    </r>
    <r>
      <rPr>
        <sz val="10"/>
        <rFont val="Arial"/>
        <family val="2"/>
      </rPr>
      <t>1</t>
    </r>
    <r>
      <rPr>
        <sz val="10"/>
        <rFont val="DejaVu Sans"/>
        <family val="2"/>
      </rPr>
      <t>호</t>
    </r>
  </si>
  <si>
    <r>
      <rPr>
        <sz val="10"/>
        <rFont val="DejaVu Sans"/>
        <family val="2"/>
      </rPr>
      <t>아이엠엠로즈골드</t>
    </r>
    <r>
      <rPr>
        <sz val="10"/>
        <rFont val="Arial"/>
        <family val="2"/>
      </rPr>
      <t>3</t>
    </r>
    <r>
      <rPr>
        <sz val="10"/>
        <rFont val="DejaVu Sans"/>
        <family val="2"/>
      </rPr>
      <t>알파</t>
    </r>
    <r>
      <rPr>
        <sz val="10"/>
        <rFont val="Arial"/>
        <family val="2"/>
      </rPr>
      <t>2</t>
    </r>
    <r>
      <rPr>
        <sz val="10"/>
        <rFont val="DejaVu Sans"/>
        <family val="2"/>
      </rPr>
      <t>호</t>
    </r>
  </si>
  <si>
    <r>
      <rPr>
        <sz val="10"/>
        <rFont val="DejaVu Sans"/>
        <family val="2"/>
      </rPr>
      <t>아이엠엠노비스</t>
    </r>
    <r>
      <rPr>
        <sz val="10"/>
        <rFont val="Arial"/>
        <family val="2"/>
      </rPr>
      <t>1</t>
    </r>
    <r>
      <rPr>
        <sz val="10"/>
        <rFont val="DejaVu Sans"/>
        <family val="2"/>
      </rPr>
      <t>호코인베스트</t>
    </r>
  </si>
  <si>
    <r>
      <rPr>
        <sz val="10"/>
        <rFont val="DejaVu Sans"/>
        <family val="2"/>
      </rPr>
      <t>아이엠엠노비스</t>
    </r>
    <r>
      <rPr>
        <sz val="10"/>
        <rFont val="Arial"/>
        <family val="2"/>
      </rPr>
      <t>2</t>
    </r>
    <r>
      <rPr>
        <sz val="10"/>
        <rFont val="DejaVu Sans"/>
        <family val="2"/>
      </rPr>
      <t>호코인베스트</t>
    </r>
  </si>
  <si>
    <t>아이엠엠비너스코인베스트먼트</t>
  </si>
  <si>
    <r>
      <rPr>
        <sz val="10"/>
        <rFont val="DejaVu Sans"/>
        <family val="2"/>
      </rPr>
      <t>아이엠엠로즈골드</t>
    </r>
    <r>
      <rPr>
        <sz val="10"/>
        <rFont val="Arial"/>
        <family val="2"/>
      </rPr>
      <t>4</t>
    </r>
  </si>
  <si>
    <r>
      <rPr>
        <sz val="10"/>
        <rFont val="DejaVu Sans"/>
        <family val="2"/>
      </rPr>
      <t>아이엠엠로즈골드</t>
    </r>
    <r>
      <rPr>
        <sz val="10"/>
        <rFont val="Arial"/>
        <family val="2"/>
      </rPr>
      <t>4</t>
    </r>
    <r>
      <rPr>
        <sz val="10"/>
        <rFont val="DejaVu Sans"/>
        <family val="2"/>
      </rPr>
      <t>알파</t>
    </r>
    <r>
      <rPr>
        <sz val="10"/>
        <rFont val="Arial"/>
        <family val="2"/>
      </rPr>
      <t>1</t>
    </r>
    <r>
      <rPr>
        <sz val="10"/>
        <rFont val="DejaVu Sans"/>
        <family val="2"/>
      </rPr>
      <t>호</t>
    </r>
  </si>
  <si>
    <r>
      <rPr>
        <sz val="10"/>
        <rFont val="DejaVu Sans"/>
        <family val="2"/>
      </rPr>
      <t>아이엠엠로즈골드</t>
    </r>
    <r>
      <rPr>
        <sz val="10"/>
        <rFont val="Arial"/>
        <family val="2"/>
      </rPr>
      <t>4</t>
    </r>
    <r>
      <rPr>
        <sz val="10"/>
        <rFont val="DejaVu Sans"/>
        <family val="2"/>
      </rPr>
      <t>알파</t>
    </r>
    <r>
      <rPr>
        <sz val="10"/>
        <rFont val="Arial"/>
        <family val="2"/>
      </rPr>
      <t>2</t>
    </r>
    <r>
      <rPr>
        <sz val="10"/>
        <rFont val="DejaVu Sans"/>
        <family val="2"/>
      </rPr>
      <t>호</t>
    </r>
  </si>
  <si>
    <r>
      <rPr>
        <sz val="10"/>
        <rFont val="DejaVu Sans"/>
        <family val="2"/>
      </rPr>
      <t>아이엠엠머큐리</t>
    </r>
    <r>
      <rPr>
        <sz val="10"/>
        <rFont val="Arial"/>
        <family val="2"/>
      </rPr>
      <t>1</t>
    </r>
    <r>
      <rPr>
        <sz val="10"/>
        <rFont val="DejaVu Sans"/>
        <family val="2"/>
      </rPr>
      <t>호코인베스트</t>
    </r>
  </si>
  <si>
    <r>
      <rPr>
        <sz val="10"/>
        <rFont val="DejaVu Sans"/>
        <family val="2"/>
      </rPr>
      <t>아이엠엠머큐리</t>
    </r>
    <r>
      <rPr>
        <sz val="10"/>
        <rFont val="Arial"/>
        <family val="2"/>
      </rPr>
      <t>2</t>
    </r>
    <r>
      <rPr>
        <sz val="10"/>
        <rFont val="DejaVu Sans"/>
        <family val="2"/>
      </rPr>
      <t>호코인베스트</t>
    </r>
  </si>
  <si>
    <t>아이엠엠에이에프코인베스트먼트</t>
  </si>
  <si>
    <r>
      <rPr>
        <sz val="10"/>
        <rFont val="DejaVu Sans"/>
        <family val="2"/>
      </rPr>
      <t>아이엠엠코리아인더스트리얼코인베스트</t>
    </r>
    <r>
      <rPr>
        <sz val="10"/>
        <rFont val="Arial"/>
        <family val="2"/>
      </rPr>
      <t>1</t>
    </r>
    <r>
      <rPr>
        <sz val="10"/>
        <rFont val="DejaVu Sans"/>
        <family val="2"/>
      </rPr>
      <t>호</t>
    </r>
  </si>
  <si>
    <r>
      <rPr>
        <sz val="10"/>
        <rFont val="DejaVu Sans"/>
        <family val="2"/>
      </rPr>
      <t>아이엠엠에이에프</t>
    </r>
    <r>
      <rPr>
        <sz val="10"/>
        <rFont val="Arial"/>
        <family val="2"/>
      </rPr>
      <t>2</t>
    </r>
    <r>
      <rPr>
        <sz val="10"/>
        <rFont val="DejaVu Sans"/>
        <family val="2"/>
      </rPr>
      <t>호코인베스트먼트</t>
    </r>
  </si>
  <si>
    <r>
      <rPr>
        <sz val="10"/>
        <rFont val="DejaVu Sans"/>
        <family val="2"/>
      </rPr>
      <t>아이엠엠코리아인더스트리얼코인베스트</t>
    </r>
    <r>
      <rPr>
        <sz val="10"/>
        <rFont val="Arial"/>
        <family val="2"/>
      </rPr>
      <t>3</t>
    </r>
    <r>
      <rPr>
        <sz val="10"/>
        <rFont val="DejaVu Sans"/>
        <family val="2"/>
      </rPr>
      <t>호</t>
    </r>
  </si>
  <si>
    <t>아이엠엠하임코인베스트먼트원</t>
  </si>
  <si>
    <r>
      <rPr>
        <sz val="10"/>
        <rFont val="DejaVu Sans"/>
        <family val="2"/>
      </rPr>
      <t>아이엠엠로즈골드</t>
    </r>
    <r>
      <rPr>
        <sz val="10"/>
        <rFont val="Arial"/>
        <family val="2"/>
      </rPr>
      <t>5</t>
    </r>
  </si>
  <si>
    <t>아이엠엠선샤인코인베스트</t>
  </si>
  <si>
    <r>
      <rPr>
        <sz val="10"/>
        <rFont val="DejaVu Sans"/>
        <family val="2"/>
      </rPr>
      <t>아이엠엠로즈골드</t>
    </r>
    <r>
      <rPr>
        <sz val="10"/>
        <rFont val="Arial"/>
        <family val="2"/>
      </rPr>
      <t>5</t>
    </r>
    <r>
      <rPr>
        <sz val="10"/>
        <rFont val="DejaVu Sans"/>
        <family val="2"/>
      </rPr>
      <t>알파</t>
    </r>
  </si>
  <si>
    <t>아이엠엠시포트코인베스트먼트</t>
  </si>
  <si>
    <r>
      <rPr>
        <sz val="10"/>
        <rFont val="DejaVu Sans"/>
        <family val="2"/>
      </rPr>
      <t>아이젠</t>
    </r>
    <r>
      <rPr>
        <sz val="10"/>
        <rFont val="Arial"/>
        <family val="2"/>
      </rPr>
      <t>2022</t>
    </r>
    <r>
      <rPr>
        <sz val="10"/>
        <rFont val="DejaVu Sans"/>
        <family val="2"/>
      </rPr>
      <t>제일호</t>
    </r>
  </si>
  <si>
    <r>
      <rPr>
        <sz val="10"/>
        <rFont val="DejaVu Sans"/>
        <family val="2"/>
      </rPr>
      <t>아이젠</t>
    </r>
    <r>
      <rPr>
        <sz val="10"/>
        <rFont val="Arial"/>
        <family val="2"/>
      </rPr>
      <t>2024</t>
    </r>
    <r>
      <rPr>
        <sz val="10"/>
        <rFont val="DejaVu Sans"/>
        <family val="2"/>
      </rPr>
      <t>제일호</t>
    </r>
  </si>
  <si>
    <t>아주좋은제이호</t>
  </si>
  <si>
    <t>아주좋은제삼호</t>
  </si>
  <si>
    <t>아크루비콘</t>
  </si>
  <si>
    <t>아크코스타</t>
  </si>
  <si>
    <t>에르메스아크루비콘</t>
  </si>
  <si>
    <t>아크살롱</t>
  </si>
  <si>
    <t>아크앤파트너스레드제일의이호</t>
  </si>
  <si>
    <t>아크앤파트너스레드제일의일호</t>
  </si>
  <si>
    <t>테라트로닉스티브이씨제일호</t>
  </si>
  <si>
    <r>
      <rPr>
        <sz val="10"/>
        <rFont val="DejaVu Sans"/>
        <family val="2"/>
      </rPr>
      <t>퀀텀이노베이션제</t>
    </r>
    <r>
      <rPr>
        <sz val="10"/>
        <rFont val="Arial"/>
        <family val="2"/>
      </rPr>
      <t>1</t>
    </r>
    <r>
      <rPr>
        <sz val="10"/>
        <rFont val="DejaVu Sans"/>
        <family val="2"/>
      </rPr>
      <t>의</t>
    </r>
    <r>
      <rPr>
        <sz val="10"/>
        <rFont val="Arial"/>
        <family val="2"/>
      </rPr>
      <t>2</t>
    </r>
    <r>
      <rPr>
        <sz val="10"/>
        <rFont val="DejaVu Sans"/>
        <family val="2"/>
      </rPr>
      <t>호</t>
    </r>
  </si>
  <si>
    <t>네트웍인프라서비스</t>
  </si>
  <si>
    <t>쿼드비스타</t>
  </si>
  <si>
    <t>스노우비스타</t>
  </si>
  <si>
    <r>
      <rPr>
        <sz val="10"/>
        <rFont val="DejaVu Sans"/>
        <family val="2"/>
      </rPr>
      <t>알파비스타</t>
    </r>
    <r>
      <rPr>
        <sz val="10"/>
        <rFont val="Arial"/>
        <family val="2"/>
      </rPr>
      <t>1</t>
    </r>
    <r>
      <rPr>
        <sz val="10"/>
        <rFont val="DejaVu Sans"/>
        <family val="2"/>
      </rPr>
      <t>호창업벤처전문</t>
    </r>
  </si>
  <si>
    <t>머큐리비스타창업벤처전문</t>
  </si>
  <si>
    <r>
      <rPr>
        <sz val="10"/>
        <rFont val="DejaVu Sans"/>
        <family val="2"/>
      </rPr>
      <t>알파디지털에셋</t>
    </r>
    <r>
      <rPr>
        <sz val="10"/>
        <rFont val="Arial"/>
        <family val="2"/>
      </rPr>
      <t>1</t>
    </r>
    <r>
      <rPr>
        <sz val="10"/>
        <rFont val="DejaVu Sans"/>
        <family val="2"/>
      </rPr>
      <t>호기관전용</t>
    </r>
  </si>
  <si>
    <t>알파하베스트써밋</t>
  </si>
  <si>
    <r>
      <rPr>
        <sz val="10"/>
        <rFont val="DejaVu Sans"/>
        <family val="2"/>
      </rPr>
      <t>제니타스앰버스톤제</t>
    </r>
    <r>
      <rPr>
        <sz val="10"/>
        <rFont val="Arial"/>
        <family val="2"/>
      </rPr>
      <t>1</t>
    </r>
    <r>
      <rPr>
        <sz val="10"/>
        <rFont val="DejaVu Sans"/>
        <family val="2"/>
      </rPr>
      <t>차</t>
    </r>
  </si>
  <si>
    <r>
      <rPr>
        <sz val="10"/>
        <rFont val="DejaVu Sans"/>
        <family val="2"/>
      </rPr>
      <t>피씨씨앰버스톤제</t>
    </r>
    <r>
      <rPr>
        <sz val="10"/>
        <rFont val="Arial"/>
        <family val="2"/>
      </rPr>
      <t>2</t>
    </r>
    <r>
      <rPr>
        <sz val="10"/>
        <rFont val="DejaVu Sans"/>
        <family val="2"/>
      </rPr>
      <t>차</t>
    </r>
  </si>
  <si>
    <r>
      <rPr>
        <sz val="10"/>
        <rFont val="DejaVu Sans"/>
        <family val="2"/>
      </rPr>
      <t>앰버스톤매그</t>
    </r>
    <r>
      <rPr>
        <sz val="10"/>
        <rFont val="Arial"/>
        <family val="2"/>
      </rPr>
      <t>2</t>
    </r>
    <r>
      <rPr>
        <sz val="10"/>
        <rFont val="DejaVu Sans"/>
        <family val="2"/>
      </rPr>
      <t>호</t>
    </r>
  </si>
  <si>
    <r>
      <rPr>
        <sz val="10"/>
        <rFont val="DejaVu Sans"/>
        <family val="2"/>
      </rPr>
      <t>앰버스톤제</t>
    </r>
    <r>
      <rPr>
        <sz val="10"/>
        <rFont val="Arial"/>
        <family val="2"/>
      </rPr>
      <t>1</t>
    </r>
    <r>
      <rPr>
        <sz val="10"/>
        <rFont val="DejaVu Sans"/>
        <family val="2"/>
      </rPr>
      <t>호</t>
    </r>
  </si>
  <si>
    <r>
      <rPr>
        <sz val="10"/>
        <rFont val="DejaVu Sans"/>
        <family val="2"/>
      </rPr>
      <t>앰버스톤베인제</t>
    </r>
    <r>
      <rPr>
        <sz val="10"/>
        <rFont val="Arial"/>
        <family val="2"/>
      </rPr>
      <t>1</t>
    </r>
    <r>
      <rPr>
        <sz val="10"/>
        <rFont val="DejaVu Sans"/>
        <family val="2"/>
      </rPr>
      <t>호</t>
    </r>
  </si>
  <si>
    <r>
      <rPr>
        <sz val="10"/>
        <rFont val="DejaVu Sans"/>
        <family val="2"/>
      </rPr>
      <t>앰버스톤제</t>
    </r>
    <r>
      <rPr>
        <sz val="10"/>
        <rFont val="Arial"/>
        <family val="2"/>
      </rPr>
      <t>2</t>
    </r>
    <r>
      <rPr>
        <sz val="10"/>
        <rFont val="DejaVu Sans"/>
        <family val="2"/>
      </rPr>
      <t>호</t>
    </r>
  </si>
  <si>
    <r>
      <rPr>
        <sz val="10"/>
        <rFont val="DejaVu Sans"/>
        <family val="2"/>
      </rPr>
      <t>앰버스톤씨엘오노트제</t>
    </r>
    <r>
      <rPr>
        <sz val="10"/>
        <rFont val="Arial"/>
        <family val="2"/>
      </rPr>
      <t>1</t>
    </r>
    <r>
      <rPr>
        <sz val="10"/>
        <rFont val="DejaVu Sans"/>
        <family val="2"/>
      </rPr>
      <t>호</t>
    </r>
  </si>
  <si>
    <r>
      <rPr>
        <sz val="10"/>
        <rFont val="DejaVu Sans"/>
        <family val="2"/>
      </rPr>
      <t>앰버스톤제</t>
    </r>
    <r>
      <rPr>
        <sz val="10"/>
        <rFont val="Arial"/>
        <family val="2"/>
      </rPr>
      <t>3</t>
    </r>
    <r>
      <rPr>
        <sz val="10"/>
        <rFont val="DejaVu Sans"/>
        <family val="2"/>
      </rPr>
      <t>호</t>
    </r>
  </si>
  <si>
    <r>
      <rPr>
        <sz val="10"/>
        <rFont val="DejaVu Sans"/>
        <family val="2"/>
      </rPr>
      <t>더블에이제</t>
    </r>
    <r>
      <rPr>
        <sz val="10"/>
        <rFont val="Arial"/>
        <family val="2"/>
      </rPr>
      <t>1</t>
    </r>
    <r>
      <rPr>
        <sz val="10"/>
        <rFont val="DejaVu Sans"/>
        <family val="2"/>
      </rPr>
      <t>호</t>
    </r>
  </si>
  <si>
    <r>
      <rPr>
        <sz val="10"/>
        <rFont val="DejaVu Sans"/>
        <family val="2"/>
      </rPr>
      <t>어센트제</t>
    </r>
    <r>
      <rPr>
        <sz val="10"/>
        <rFont val="Arial"/>
        <family val="2"/>
      </rPr>
      <t>5</t>
    </r>
    <r>
      <rPr>
        <sz val="10"/>
        <rFont val="DejaVu Sans"/>
        <family val="2"/>
      </rPr>
      <t>호</t>
    </r>
  </si>
  <si>
    <t>어쎈타제삼호</t>
  </si>
  <si>
    <t>메이플모빌리티</t>
  </si>
  <si>
    <t>어쎈타제오호</t>
  </si>
  <si>
    <t>토러스클라우드</t>
  </si>
  <si>
    <t>어쎈타제육호</t>
  </si>
  <si>
    <t>아테나제일호</t>
  </si>
  <si>
    <t>얼라인파트너스셀레스티얼</t>
  </si>
  <si>
    <t>에버마운트하버브릭스</t>
  </si>
  <si>
    <t>유진에버베스트턴어라운드기업재무안정</t>
  </si>
  <si>
    <t>에버베스트리빙스톤</t>
  </si>
  <si>
    <t>하나에버베스트기업재무안정</t>
  </si>
  <si>
    <t>에버베스트헬리오스파워</t>
  </si>
  <si>
    <r>
      <rPr>
        <sz val="10"/>
        <rFont val="DejaVu Sans"/>
        <family val="2"/>
      </rPr>
      <t>에벤투스솔라제</t>
    </r>
    <r>
      <rPr>
        <sz val="10"/>
        <rFont val="Arial"/>
        <family val="2"/>
      </rPr>
      <t>1</t>
    </r>
    <r>
      <rPr>
        <sz val="10"/>
        <rFont val="DejaVu Sans"/>
        <family val="2"/>
      </rPr>
      <t>호창업벤처전문</t>
    </r>
  </si>
  <si>
    <r>
      <rPr>
        <sz val="10"/>
        <rFont val="DejaVu Sans"/>
        <family val="2"/>
      </rPr>
      <t>에벤투스</t>
    </r>
    <r>
      <rPr>
        <sz val="10"/>
        <rFont val="Arial"/>
        <family val="2"/>
      </rPr>
      <t>2</t>
    </r>
    <r>
      <rPr>
        <sz val="10"/>
        <rFont val="DejaVu Sans"/>
        <family val="2"/>
      </rPr>
      <t>차전지제</t>
    </r>
    <r>
      <rPr>
        <sz val="10"/>
        <rFont val="Arial"/>
        <family val="2"/>
      </rPr>
      <t>2</t>
    </r>
    <r>
      <rPr>
        <sz val="10"/>
        <rFont val="DejaVu Sans"/>
        <family val="2"/>
      </rPr>
      <t>호</t>
    </r>
  </si>
  <si>
    <r>
      <rPr>
        <sz val="10"/>
        <rFont val="DejaVu Sans"/>
        <family val="2"/>
      </rPr>
      <t>에벤투스반도체제</t>
    </r>
    <r>
      <rPr>
        <sz val="10"/>
        <rFont val="Arial"/>
        <family val="2"/>
      </rPr>
      <t>1</t>
    </r>
    <r>
      <rPr>
        <sz val="10"/>
        <rFont val="DejaVu Sans"/>
        <family val="2"/>
      </rPr>
      <t>호</t>
    </r>
  </si>
  <si>
    <r>
      <rPr>
        <sz val="10"/>
        <rFont val="DejaVu Sans"/>
        <family val="2"/>
      </rPr>
      <t>에벤투스</t>
    </r>
    <r>
      <rPr>
        <sz val="10"/>
        <rFont val="Arial"/>
        <family val="2"/>
      </rPr>
      <t>2</t>
    </r>
    <r>
      <rPr>
        <sz val="10"/>
        <rFont val="DejaVu Sans"/>
        <family val="2"/>
      </rPr>
      <t>차전지제</t>
    </r>
    <r>
      <rPr>
        <sz val="10"/>
        <rFont val="Arial"/>
        <family val="2"/>
      </rPr>
      <t>1</t>
    </r>
    <r>
      <rPr>
        <sz val="10"/>
        <rFont val="DejaVu Sans"/>
        <family val="2"/>
      </rPr>
      <t>의</t>
    </r>
    <r>
      <rPr>
        <sz val="10"/>
        <rFont val="Arial"/>
        <family val="2"/>
      </rPr>
      <t>2</t>
    </r>
    <r>
      <rPr>
        <sz val="10"/>
        <rFont val="DejaVu Sans"/>
        <family val="2"/>
      </rPr>
      <t>호</t>
    </r>
  </si>
  <si>
    <t>에스더블유케이그린에너지창업벤처전문</t>
  </si>
  <si>
    <r>
      <rPr>
        <sz val="10"/>
        <rFont val="DejaVu Sans"/>
        <family val="2"/>
      </rPr>
      <t>에스브이컨슈머제</t>
    </r>
    <r>
      <rPr>
        <sz val="10"/>
        <rFont val="Arial"/>
        <family val="2"/>
      </rPr>
      <t>1</t>
    </r>
    <r>
      <rPr>
        <sz val="10"/>
        <rFont val="DejaVu Sans"/>
        <family val="2"/>
      </rPr>
      <t>호</t>
    </r>
  </si>
  <si>
    <r>
      <rPr>
        <sz val="10"/>
        <rFont val="DejaVu Sans"/>
        <family val="2"/>
      </rPr>
      <t>에스브이글로벌인더스트리얼제</t>
    </r>
    <r>
      <rPr>
        <sz val="10"/>
        <rFont val="Arial"/>
        <family val="2"/>
      </rPr>
      <t>1</t>
    </r>
    <r>
      <rPr>
        <sz val="10"/>
        <rFont val="DejaVu Sans"/>
        <family val="2"/>
      </rPr>
      <t>호</t>
    </r>
  </si>
  <si>
    <r>
      <rPr>
        <sz val="10"/>
        <rFont val="DejaVu Sans"/>
        <family val="2"/>
      </rPr>
      <t>에스브이글로벌인더스트리얼제</t>
    </r>
    <r>
      <rPr>
        <sz val="10"/>
        <rFont val="Arial"/>
        <family val="2"/>
      </rPr>
      <t>2</t>
    </r>
    <r>
      <rPr>
        <sz val="10"/>
        <rFont val="DejaVu Sans"/>
        <family val="2"/>
      </rPr>
      <t>호</t>
    </r>
  </si>
  <si>
    <t>에스브이에이소다</t>
  </si>
  <si>
    <t>에스브이에이콘텐트미디어이호</t>
  </si>
  <si>
    <t>에스브이에이크림</t>
  </si>
  <si>
    <t>퓨처이노베이션제삼호</t>
  </si>
  <si>
    <t>알파인텔리전스</t>
  </si>
  <si>
    <t>에스비아이신성장지원</t>
  </si>
  <si>
    <t>케이비에스비아이글로벌첨단전략</t>
  </si>
  <si>
    <t>에스비케이와스카</t>
  </si>
  <si>
    <r>
      <rPr>
        <sz val="10"/>
        <rFont val="DejaVu Sans"/>
        <family val="2"/>
      </rPr>
      <t>에스씨로이제</t>
    </r>
    <r>
      <rPr>
        <sz val="10"/>
        <rFont val="Arial"/>
        <family val="2"/>
      </rPr>
      <t>1</t>
    </r>
    <r>
      <rPr>
        <sz val="10"/>
        <rFont val="DejaVu Sans"/>
        <family val="2"/>
      </rPr>
      <t>호</t>
    </r>
  </si>
  <si>
    <r>
      <rPr>
        <sz val="10"/>
        <rFont val="DejaVu Sans"/>
        <family val="2"/>
      </rPr>
      <t>에스에스피제</t>
    </r>
    <r>
      <rPr>
        <sz val="10"/>
        <rFont val="Arial"/>
        <family val="2"/>
      </rPr>
      <t>1</t>
    </r>
    <r>
      <rPr>
        <sz val="10"/>
        <rFont val="DejaVu Sans"/>
        <family val="2"/>
      </rPr>
      <t>호</t>
    </r>
  </si>
  <si>
    <r>
      <rPr>
        <sz val="10"/>
        <rFont val="DejaVu Sans"/>
        <family val="2"/>
      </rPr>
      <t>에스에스피젤코바제</t>
    </r>
    <r>
      <rPr>
        <sz val="10"/>
        <rFont val="Arial"/>
        <family val="2"/>
      </rPr>
      <t>1</t>
    </r>
    <r>
      <rPr>
        <sz val="10"/>
        <rFont val="DejaVu Sans"/>
        <family val="2"/>
      </rPr>
      <t>호</t>
    </r>
  </si>
  <si>
    <r>
      <rPr>
        <sz val="10"/>
        <rFont val="DejaVu Sans"/>
        <family val="2"/>
      </rPr>
      <t>옐로씨에스오엘성장제</t>
    </r>
    <r>
      <rPr>
        <sz val="10"/>
        <rFont val="Arial"/>
        <family val="2"/>
      </rPr>
      <t>1</t>
    </r>
    <r>
      <rPr>
        <sz val="10"/>
        <rFont val="DejaVu Sans"/>
        <family val="2"/>
      </rPr>
      <t>호</t>
    </r>
  </si>
  <si>
    <r>
      <rPr>
        <sz val="10"/>
        <rFont val="DejaVu Sans"/>
        <family val="2"/>
      </rPr>
      <t>엠오엠제</t>
    </r>
    <r>
      <rPr>
        <sz val="10"/>
        <rFont val="Arial"/>
        <family val="2"/>
      </rPr>
      <t>1</t>
    </r>
    <r>
      <rPr>
        <sz val="10"/>
        <rFont val="DejaVu Sans"/>
        <family val="2"/>
      </rPr>
      <t>호</t>
    </r>
  </si>
  <si>
    <r>
      <rPr>
        <sz val="10"/>
        <rFont val="DejaVu Sans"/>
        <family val="2"/>
      </rPr>
      <t>엔에스씨제</t>
    </r>
    <r>
      <rPr>
        <sz val="10"/>
        <rFont val="Arial"/>
        <family val="2"/>
      </rPr>
      <t>1</t>
    </r>
    <r>
      <rPr>
        <sz val="10"/>
        <rFont val="DejaVu Sans"/>
        <family val="2"/>
      </rPr>
      <t>호</t>
    </r>
  </si>
  <si>
    <r>
      <rPr>
        <sz val="10"/>
        <rFont val="DejaVu Sans"/>
        <family val="2"/>
      </rPr>
      <t>마데이라제</t>
    </r>
    <r>
      <rPr>
        <sz val="10"/>
        <rFont val="Arial"/>
        <family val="2"/>
      </rPr>
      <t>1</t>
    </r>
    <r>
      <rPr>
        <sz val="10"/>
        <rFont val="DejaVu Sans"/>
        <family val="2"/>
      </rPr>
      <t>호</t>
    </r>
  </si>
  <si>
    <r>
      <rPr>
        <sz val="10"/>
        <rFont val="DejaVu Sans"/>
        <family val="2"/>
      </rPr>
      <t>에스지</t>
    </r>
    <r>
      <rPr>
        <sz val="10"/>
        <rFont val="Arial"/>
        <family val="2"/>
      </rPr>
      <t>2017</t>
    </r>
  </si>
  <si>
    <r>
      <rPr>
        <sz val="10"/>
        <rFont val="DejaVu Sans"/>
        <family val="2"/>
      </rPr>
      <t>에스지</t>
    </r>
    <r>
      <rPr>
        <sz val="10"/>
        <rFont val="Arial"/>
        <family val="2"/>
      </rPr>
      <t>2019</t>
    </r>
  </si>
  <si>
    <r>
      <rPr>
        <sz val="10"/>
        <rFont val="DejaVu Sans"/>
        <family val="2"/>
      </rPr>
      <t>에스지</t>
    </r>
    <r>
      <rPr>
        <sz val="10"/>
        <rFont val="Arial"/>
        <family val="2"/>
      </rPr>
      <t>2019</t>
    </r>
    <r>
      <rPr>
        <sz val="10"/>
        <rFont val="DejaVu Sans"/>
        <family val="2"/>
      </rPr>
      <t>의</t>
    </r>
    <r>
      <rPr>
        <sz val="10"/>
        <rFont val="Arial"/>
        <family val="2"/>
      </rPr>
      <t>1</t>
    </r>
  </si>
  <si>
    <t>한투에스지기업재무안정</t>
  </si>
  <si>
    <r>
      <rPr>
        <sz val="10"/>
        <rFont val="DejaVu Sans"/>
        <family val="2"/>
      </rPr>
      <t>에스지</t>
    </r>
    <r>
      <rPr>
        <sz val="10"/>
        <rFont val="Arial"/>
        <family val="2"/>
      </rPr>
      <t>2022</t>
    </r>
  </si>
  <si>
    <r>
      <rPr>
        <sz val="10"/>
        <rFont val="DejaVu Sans"/>
        <family val="2"/>
      </rPr>
      <t>에스지</t>
    </r>
    <r>
      <rPr>
        <sz val="10"/>
        <rFont val="Arial"/>
        <family val="2"/>
      </rPr>
      <t>2022</t>
    </r>
    <r>
      <rPr>
        <sz val="10"/>
        <rFont val="DejaVu Sans"/>
        <family val="2"/>
      </rPr>
      <t>의</t>
    </r>
    <r>
      <rPr>
        <sz val="10"/>
        <rFont val="Arial"/>
        <family val="2"/>
      </rPr>
      <t>1</t>
    </r>
  </si>
  <si>
    <t>한투에스지제이호기업재무안정</t>
  </si>
  <si>
    <t>에스지뉴딜제일호</t>
  </si>
  <si>
    <t>에스지제일호스페셜시츄에이션기업재무안정</t>
  </si>
  <si>
    <r>
      <rPr>
        <sz val="10"/>
        <rFont val="DejaVu Sans"/>
        <family val="2"/>
      </rPr>
      <t>에스지뉴딜제</t>
    </r>
    <r>
      <rPr>
        <sz val="10"/>
        <rFont val="Arial"/>
        <family val="2"/>
      </rPr>
      <t>2</t>
    </r>
    <r>
      <rPr>
        <sz val="10"/>
        <rFont val="DejaVu Sans"/>
        <family val="2"/>
      </rPr>
      <t>호</t>
    </r>
  </si>
  <si>
    <t>에스지제이호스페셜시츄에이션기업재무안정</t>
  </si>
  <si>
    <t>에스케이에스에코서비스제일호</t>
  </si>
  <si>
    <t>에스케이에스크레딧오에프</t>
  </si>
  <si>
    <t>인사이트이에스지파트너십제일호</t>
  </si>
  <si>
    <r>
      <rPr>
        <sz val="10"/>
        <rFont val="DejaVu Sans"/>
        <family val="2"/>
      </rPr>
      <t>신영에스케이에스공동투자</t>
    </r>
    <r>
      <rPr>
        <sz val="10"/>
        <rFont val="Arial"/>
        <family val="2"/>
      </rPr>
      <t>2017</t>
    </r>
  </si>
  <si>
    <r>
      <rPr>
        <sz val="10"/>
        <rFont val="DejaVu Sans"/>
        <family val="2"/>
      </rPr>
      <t>에스케이에스한국투자제</t>
    </r>
    <r>
      <rPr>
        <sz val="10"/>
        <rFont val="Arial"/>
        <family val="2"/>
      </rPr>
      <t>1</t>
    </r>
    <r>
      <rPr>
        <sz val="10"/>
        <rFont val="DejaVu Sans"/>
        <family val="2"/>
      </rPr>
      <t>호</t>
    </r>
  </si>
  <si>
    <r>
      <rPr>
        <sz val="10"/>
        <rFont val="DejaVu Sans"/>
        <family val="2"/>
      </rPr>
      <t>에스케이에스공동투자</t>
    </r>
    <r>
      <rPr>
        <sz val="10"/>
        <rFont val="Arial"/>
        <family val="2"/>
      </rPr>
      <t>2021</t>
    </r>
  </si>
  <si>
    <t>에스케이에스마이데이터</t>
  </si>
  <si>
    <t>이에스지블루밍</t>
  </si>
  <si>
    <t>글로벌이엠에스제일호</t>
  </si>
  <si>
    <t>이에스지어센딩</t>
  </si>
  <si>
    <r>
      <rPr>
        <sz val="10"/>
        <rFont val="DejaVu Sans"/>
        <family val="2"/>
      </rPr>
      <t>에스티엘제</t>
    </r>
    <r>
      <rPr>
        <sz val="10"/>
        <rFont val="Arial"/>
        <family val="2"/>
      </rPr>
      <t>14</t>
    </r>
    <r>
      <rPr>
        <sz val="10"/>
        <rFont val="DejaVu Sans"/>
        <family val="2"/>
      </rPr>
      <t>호스마트금융</t>
    </r>
  </si>
  <si>
    <r>
      <rPr>
        <sz val="10"/>
        <rFont val="DejaVu Sans"/>
        <family val="2"/>
      </rPr>
      <t>에스티엘제</t>
    </r>
    <r>
      <rPr>
        <sz val="10"/>
        <rFont val="Arial"/>
        <family val="2"/>
      </rPr>
      <t>15</t>
    </r>
    <r>
      <rPr>
        <sz val="10"/>
        <rFont val="DejaVu Sans"/>
        <family val="2"/>
      </rPr>
      <t>호</t>
    </r>
  </si>
  <si>
    <r>
      <rPr>
        <sz val="10"/>
        <rFont val="DejaVu Sans"/>
        <family val="2"/>
      </rPr>
      <t>에스티엘제</t>
    </r>
    <r>
      <rPr>
        <sz val="10"/>
        <rFont val="Arial"/>
        <family val="2"/>
      </rPr>
      <t>18</t>
    </r>
    <r>
      <rPr>
        <sz val="10"/>
        <rFont val="DejaVu Sans"/>
        <family val="2"/>
      </rPr>
      <t>호</t>
    </r>
  </si>
  <si>
    <r>
      <rPr>
        <sz val="10"/>
        <rFont val="DejaVu Sans"/>
        <family val="2"/>
      </rPr>
      <t>에이비즈제</t>
    </r>
    <r>
      <rPr>
        <sz val="10"/>
        <rFont val="Arial"/>
        <family val="2"/>
      </rPr>
      <t>1</t>
    </r>
    <r>
      <rPr>
        <sz val="10"/>
        <rFont val="DejaVu Sans"/>
        <family val="2"/>
      </rPr>
      <t>호기업재무안정</t>
    </r>
  </si>
  <si>
    <r>
      <rPr>
        <sz val="10"/>
        <rFont val="DejaVu Sans"/>
        <family val="2"/>
      </rPr>
      <t>에이비즈제</t>
    </r>
    <r>
      <rPr>
        <sz val="10"/>
        <rFont val="Arial"/>
        <family val="2"/>
      </rPr>
      <t>3</t>
    </r>
    <r>
      <rPr>
        <sz val="10"/>
        <rFont val="DejaVu Sans"/>
        <family val="2"/>
      </rPr>
      <t>호</t>
    </r>
  </si>
  <si>
    <r>
      <rPr>
        <sz val="10"/>
        <rFont val="DejaVu Sans"/>
        <family val="2"/>
      </rPr>
      <t>에이비즈제</t>
    </r>
    <r>
      <rPr>
        <sz val="10"/>
        <rFont val="Arial"/>
        <family val="2"/>
      </rPr>
      <t>4</t>
    </r>
    <r>
      <rPr>
        <sz val="10"/>
        <rFont val="DejaVu Sans"/>
        <family val="2"/>
      </rPr>
      <t>호</t>
    </r>
  </si>
  <si>
    <r>
      <rPr>
        <sz val="10"/>
        <rFont val="DejaVu Sans"/>
        <family val="2"/>
      </rPr>
      <t>에이비즈제</t>
    </r>
    <r>
      <rPr>
        <sz val="10"/>
        <rFont val="Arial"/>
        <family val="2"/>
      </rPr>
      <t>5</t>
    </r>
    <r>
      <rPr>
        <sz val="10"/>
        <rFont val="DejaVu Sans"/>
        <family val="2"/>
      </rPr>
      <t>호</t>
    </r>
  </si>
  <si>
    <t>에이스대호</t>
  </si>
  <si>
    <t>에이스옵티칼</t>
  </si>
  <si>
    <t>르네</t>
  </si>
  <si>
    <t>오피노</t>
  </si>
  <si>
    <t>비젼</t>
  </si>
  <si>
    <r>
      <rPr>
        <sz val="10"/>
        <rFont val="DejaVu Sans"/>
        <family val="2"/>
      </rPr>
      <t>엔에이치에이알에이밸류애드제</t>
    </r>
    <r>
      <rPr>
        <sz val="10"/>
        <rFont val="Arial"/>
        <family val="2"/>
      </rPr>
      <t>1</t>
    </r>
    <r>
      <rPr>
        <sz val="10"/>
        <rFont val="DejaVu Sans"/>
        <family val="2"/>
      </rPr>
      <t>호</t>
    </r>
  </si>
  <si>
    <t>케이에이치큐제사호</t>
  </si>
  <si>
    <t>케이에이치큐이노베이션</t>
  </si>
  <si>
    <t>케이에이치큐인터링크</t>
  </si>
  <si>
    <t>에이치제일호</t>
  </si>
  <si>
    <t>씨씨브이씨에이치투지창업벤처전문</t>
  </si>
  <si>
    <t>에이치베타</t>
  </si>
  <si>
    <t>에이치아이오타</t>
  </si>
  <si>
    <t>에이치엡실론</t>
  </si>
  <si>
    <r>
      <rPr>
        <sz val="10"/>
        <rFont val="DejaVu Sans"/>
        <family val="2"/>
      </rPr>
      <t>에이치제</t>
    </r>
    <r>
      <rPr>
        <sz val="10"/>
        <rFont val="Arial"/>
        <family val="2"/>
      </rPr>
      <t>1</t>
    </r>
    <r>
      <rPr>
        <sz val="10"/>
        <rFont val="DejaVu Sans"/>
        <family val="2"/>
      </rPr>
      <t>호</t>
    </r>
  </si>
  <si>
    <r>
      <rPr>
        <sz val="10"/>
        <rFont val="DejaVu Sans"/>
        <family val="2"/>
      </rPr>
      <t>에이치제</t>
    </r>
    <r>
      <rPr>
        <sz val="10"/>
        <rFont val="Arial"/>
        <family val="2"/>
      </rPr>
      <t>1</t>
    </r>
    <r>
      <rPr>
        <sz val="10"/>
        <rFont val="DejaVu Sans"/>
        <family val="2"/>
      </rPr>
      <t>의</t>
    </r>
    <r>
      <rPr>
        <sz val="10"/>
        <rFont val="Arial"/>
        <family val="2"/>
      </rPr>
      <t>1</t>
    </r>
    <r>
      <rPr>
        <sz val="10"/>
        <rFont val="DejaVu Sans"/>
        <family val="2"/>
      </rPr>
      <t>호</t>
    </r>
  </si>
  <si>
    <r>
      <rPr>
        <sz val="10"/>
        <rFont val="DejaVu Sans"/>
        <family val="2"/>
      </rPr>
      <t>에이치제</t>
    </r>
    <r>
      <rPr>
        <sz val="10"/>
        <rFont val="Arial"/>
        <family val="2"/>
      </rPr>
      <t>1</t>
    </r>
    <r>
      <rPr>
        <sz val="10"/>
        <rFont val="DejaVu Sans"/>
        <family val="2"/>
      </rPr>
      <t>의</t>
    </r>
    <r>
      <rPr>
        <sz val="10"/>
        <rFont val="Arial"/>
        <family val="2"/>
      </rPr>
      <t>2</t>
    </r>
    <r>
      <rPr>
        <sz val="10"/>
        <rFont val="DejaVu Sans"/>
        <family val="2"/>
      </rPr>
      <t>호</t>
    </r>
  </si>
  <si>
    <r>
      <rPr>
        <sz val="10"/>
        <rFont val="DejaVu Sans"/>
        <family val="2"/>
      </rPr>
      <t>오케스트라프라이빗에쿼티제</t>
    </r>
    <r>
      <rPr>
        <sz val="10"/>
        <rFont val="Arial"/>
        <family val="2"/>
      </rPr>
      <t>2</t>
    </r>
    <r>
      <rPr>
        <sz val="10"/>
        <rFont val="DejaVu Sans"/>
        <family val="2"/>
      </rPr>
      <t>호</t>
    </r>
  </si>
  <si>
    <r>
      <rPr>
        <sz val="10"/>
        <rFont val="DejaVu Sans"/>
        <family val="2"/>
      </rPr>
      <t>에이티유이스포츠그로쓰</t>
    </r>
    <r>
      <rPr>
        <sz val="10"/>
        <rFont val="Arial"/>
        <family val="2"/>
      </rPr>
      <t>1</t>
    </r>
    <r>
      <rPr>
        <sz val="10"/>
        <rFont val="DejaVu Sans"/>
        <family val="2"/>
      </rPr>
      <t>호</t>
    </r>
  </si>
  <si>
    <r>
      <rPr>
        <sz val="10"/>
        <rFont val="DejaVu Sans"/>
        <family val="2"/>
      </rPr>
      <t>에이티유스포츠테크</t>
    </r>
    <r>
      <rPr>
        <sz val="10"/>
        <rFont val="Arial"/>
        <family val="2"/>
      </rPr>
      <t>1</t>
    </r>
    <r>
      <rPr>
        <sz val="10"/>
        <rFont val="DejaVu Sans"/>
        <family val="2"/>
      </rPr>
      <t>호창업벤처전문</t>
    </r>
  </si>
  <si>
    <r>
      <rPr>
        <sz val="10"/>
        <rFont val="DejaVu Sans"/>
        <family val="2"/>
      </rPr>
      <t>에이티유이스포츠그로쓰</t>
    </r>
    <r>
      <rPr>
        <sz val="10"/>
        <rFont val="Arial"/>
        <family val="2"/>
      </rPr>
      <t>2</t>
    </r>
    <r>
      <rPr>
        <sz val="10"/>
        <rFont val="DejaVu Sans"/>
        <family val="2"/>
      </rPr>
      <t>호</t>
    </r>
  </si>
  <si>
    <t>에이티유컬쳐테크엠앤에이</t>
  </si>
  <si>
    <t>에이티피이에스지</t>
  </si>
  <si>
    <t>에이티피소셜</t>
  </si>
  <si>
    <t>에임메타버스창업벤처전문</t>
  </si>
  <si>
    <t>에임투게더그로쓰창업벤처전문</t>
  </si>
  <si>
    <t>에임오퍼스헬스케어그로쓰캐피탈</t>
  </si>
  <si>
    <t>키스톤에코프라임스타기업재무안정</t>
  </si>
  <si>
    <r>
      <rPr>
        <sz val="10"/>
        <rFont val="DejaVu Sans"/>
        <family val="2"/>
      </rPr>
      <t>에코프라임환경</t>
    </r>
    <r>
      <rPr>
        <sz val="10"/>
        <rFont val="Arial"/>
        <family val="2"/>
      </rPr>
      <t>1</t>
    </r>
    <r>
      <rPr>
        <sz val="10"/>
        <rFont val="DejaVu Sans"/>
        <family val="2"/>
      </rPr>
      <t>호</t>
    </r>
  </si>
  <si>
    <t>에코프라임마린기업재무안정</t>
  </si>
  <si>
    <r>
      <rPr>
        <sz val="10"/>
        <rFont val="DejaVu Sans"/>
        <family val="2"/>
      </rPr>
      <t>에프티</t>
    </r>
    <r>
      <rPr>
        <sz val="10"/>
        <rFont val="Arial"/>
        <family val="2"/>
      </rPr>
      <t>4</t>
    </r>
    <r>
      <rPr>
        <sz val="10"/>
        <rFont val="DejaVu Sans"/>
        <family val="2"/>
      </rPr>
      <t>차산업</t>
    </r>
    <r>
      <rPr>
        <sz val="10"/>
        <rFont val="Arial"/>
        <family val="2"/>
      </rPr>
      <t>1</t>
    </r>
    <r>
      <rPr>
        <sz val="10"/>
        <rFont val="DejaVu Sans"/>
        <family val="2"/>
      </rPr>
      <t>호창업벤처전문</t>
    </r>
  </si>
  <si>
    <r>
      <rPr>
        <sz val="10"/>
        <rFont val="DejaVu Sans"/>
        <family val="2"/>
      </rPr>
      <t>엑셀시아</t>
    </r>
    <r>
      <rPr>
        <sz val="10"/>
        <rFont val="Arial"/>
        <family val="2"/>
      </rPr>
      <t>1</t>
    </r>
    <r>
      <rPr>
        <sz val="10"/>
        <rFont val="DejaVu Sans"/>
        <family val="2"/>
      </rPr>
      <t>호</t>
    </r>
  </si>
  <si>
    <t>엑셀시아캔디엑스</t>
  </si>
  <si>
    <t>엔에이치뉴그로쓰</t>
  </si>
  <si>
    <t>엔에이치공동투자</t>
  </si>
  <si>
    <t>엔에이치오퍼스기업재무안정</t>
  </si>
  <si>
    <r>
      <rPr>
        <sz val="10"/>
        <rFont val="DejaVu Sans"/>
        <family val="2"/>
      </rPr>
      <t>엔에이치오퍼스제</t>
    </r>
    <r>
      <rPr>
        <sz val="10"/>
        <rFont val="Arial"/>
        <family val="2"/>
      </rPr>
      <t>2</t>
    </r>
    <r>
      <rPr>
        <sz val="10"/>
        <rFont val="DejaVu Sans"/>
        <family val="2"/>
      </rPr>
      <t>호기업재무안정</t>
    </r>
  </si>
  <si>
    <r>
      <rPr>
        <sz val="10"/>
        <rFont val="DejaVu Sans"/>
        <family val="2"/>
      </rPr>
      <t>엔에이치오퍼스제</t>
    </r>
    <r>
      <rPr>
        <sz val="10"/>
        <rFont val="Arial"/>
        <family val="2"/>
      </rPr>
      <t>3</t>
    </r>
    <r>
      <rPr>
        <sz val="10"/>
        <rFont val="DejaVu Sans"/>
        <family val="2"/>
      </rPr>
      <t>호기업재무안정기관전용</t>
    </r>
  </si>
  <si>
    <r>
      <rPr>
        <sz val="10"/>
        <rFont val="DejaVu Sans"/>
        <family val="2"/>
      </rPr>
      <t>엔에이치우리뉴딜그로쓰알파제</t>
    </r>
    <r>
      <rPr>
        <sz val="10"/>
        <rFont val="Arial"/>
        <family val="2"/>
      </rPr>
      <t>1</t>
    </r>
    <r>
      <rPr>
        <sz val="10"/>
        <rFont val="DejaVu Sans"/>
        <family val="2"/>
      </rPr>
      <t>호</t>
    </r>
  </si>
  <si>
    <t>엔에이치프린시플</t>
  </si>
  <si>
    <r>
      <rPr>
        <sz val="10"/>
        <rFont val="DejaVu Sans"/>
        <family val="2"/>
      </rPr>
      <t>이에스지리더스제</t>
    </r>
    <r>
      <rPr>
        <sz val="10"/>
        <rFont val="Arial"/>
        <family val="2"/>
      </rPr>
      <t>1</t>
    </r>
    <r>
      <rPr>
        <sz val="10"/>
        <rFont val="DejaVu Sans"/>
        <family val="2"/>
      </rPr>
      <t>호</t>
    </r>
  </si>
  <si>
    <r>
      <rPr>
        <sz val="10"/>
        <rFont val="DejaVu Sans"/>
        <family val="2"/>
      </rPr>
      <t>엔에이치우리뉴딜병행투자제</t>
    </r>
    <r>
      <rPr>
        <sz val="10"/>
        <rFont val="Arial"/>
        <family val="2"/>
      </rPr>
      <t>1</t>
    </r>
    <r>
      <rPr>
        <sz val="10"/>
        <rFont val="DejaVu Sans"/>
        <family val="2"/>
      </rPr>
      <t>호</t>
    </r>
  </si>
  <si>
    <r>
      <rPr>
        <sz val="10"/>
        <rFont val="DejaVu Sans"/>
        <family val="2"/>
      </rPr>
      <t>엔피티케이이머징아시아펀드</t>
    </r>
    <r>
      <rPr>
        <sz val="10"/>
        <rFont val="Arial"/>
        <family val="2"/>
      </rPr>
      <t>1</t>
    </r>
  </si>
  <si>
    <r>
      <rPr>
        <sz val="10"/>
        <rFont val="DejaVu Sans"/>
        <family val="2"/>
      </rPr>
      <t>엔피엑스콘텐츠펀드</t>
    </r>
    <r>
      <rPr>
        <sz val="10"/>
        <rFont val="Arial"/>
        <family val="2"/>
      </rPr>
      <t>2</t>
    </r>
    <r>
      <rPr>
        <sz val="10"/>
        <rFont val="DejaVu Sans"/>
        <family val="2"/>
      </rPr>
      <t>창업벤처전문</t>
    </r>
  </si>
  <si>
    <r>
      <rPr>
        <sz val="10"/>
        <rFont val="DejaVu Sans"/>
        <family val="2"/>
      </rPr>
      <t>엘리베이션제</t>
    </r>
    <r>
      <rPr>
        <sz val="10"/>
        <rFont val="Arial"/>
        <family val="2"/>
      </rPr>
      <t>5</t>
    </r>
    <r>
      <rPr>
        <sz val="10"/>
        <rFont val="DejaVu Sans"/>
        <family val="2"/>
      </rPr>
      <t>호</t>
    </r>
  </si>
  <si>
    <r>
      <rPr>
        <sz val="10"/>
        <rFont val="DejaVu Sans"/>
        <family val="2"/>
      </rPr>
      <t>엘리베이션제</t>
    </r>
    <r>
      <rPr>
        <sz val="10"/>
        <rFont val="Arial"/>
        <family val="2"/>
      </rPr>
      <t>6</t>
    </r>
    <r>
      <rPr>
        <sz val="10"/>
        <rFont val="DejaVu Sans"/>
        <family val="2"/>
      </rPr>
      <t>호</t>
    </r>
  </si>
  <si>
    <t>엘비포스코신성장</t>
  </si>
  <si>
    <r>
      <rPr>
        <sz val="10"/>
        <rFont val="DejaVu Sans"/>
        <family val="2"/>
      </rPr>
      <t>엘비제</t>
    </r>
    <r>
      <rPr>
        <sz val="10"/>
        <rFont val="Arial"/>
        <family val="2"/>
      </rPr>
      <t>3</t>
    </r>
    <r>
      <rPr>
        <sz val="10"/>
        <rFont val="DejaVu Sans"/>
        <family val="2"/>
      </rPr>
      <t>호</t>
    </r>
    <r>
      <rPr>
        <sz val="10"/>
        <rFont val="Arial"/>
        <family val="2"/>
      </rPr>
      <t>2019</t>
    </r>
  </si>
  <si>
    <r>
      <rPr>
        <sz val="10"/>
        <rFont val="DejaVu Sans"/>
        <family val="2"/>
      </rPr>
      <t>엘비제</t>
    </r>
    <r>
      <rPr>
        <sz val="10"/>
        <rFont val="Arial"/>
        <family val="2"/>
      </rPr>
      <t>3</t>
    </r>
    <r>
      <rPr>
        <sz val="10"/>
        <rFont val="DejaVu Sans"/>
        <family val="2"/>
      </rPr>
      <t>호의</t>
    </r>
    <r>
      <rPr>
        <sz val="10"/>
        <rFont val="Arial"/>
        <family val="2"/>
      </rPr>
      <t>1</t>
    </r>
  </si>
  <si>
    <r>
      <rPr>
        <sz val="10"/>
        <rFont val="DejaVu Sans"/>
        <family val="2"/>
      </rPr>
      <t>엘비제</t>
    </r>
    <r>
      <rPr>
        <sz val="10"/>
        <rFont val="Arial"/>
        <family val="2"/>
      </rPr>
      <t>4</t>
    </r>
    <r>
      <rPr>
        <sz val="10"/>
        <rFont val="DejaVu Sans"/>
        <family val="2"/>
      </rPr>
      <t>호</t>
    </r>
    <r>
      <rPr>
        <sz val="10"/>
        <rFont val="Arial"/>
        <family val="2"/>
      </rPr>
      <t>2024</t>
    </r>
  </si>
  <si>
    <t>케이비엘비중견기업혁신</t>
  </si>
  <si>
    <r>
      <rPr>
        <sz val="10"/>
        <rFont val="DejaVu Sans"/>
        <family val="2"/>
      </rPr>
      <t>엘에스에스메티스제</t>
    </r>
    <r>
      <rPr>
        <sz val="10"/>
        <rFont val="Arial"/>
        <family val="2"/>
      </rPr>
      <t>2</t>
    </r>
    <r>
      <rPr>
        <sz val="10"/>
        <rFont val="DejaVu Sans"/>
        <family val="2"/>
      </rPr>
      <t>호창업벤처전문</t>
    </r>
  </si>
  <si>
    <r>
      <rPr>
        <sz val="10"/>
        <rFont val="DejaVu Sans"/>
        <family val="2"/>
      </rPr>
      <t>엘에스에스메티스제</t>
    </r>
    <r>
      <rPr>
        <sz val="10"/>
        <rFont val="Arial"/>
        <family val="2"/>
      </rPr>
      <t>3</t>
    </r>
    <r>
      <rPr>
        <sz val="10"/>
        <rFont val="DejaVu Sans"/>
        <family val="2"/>
      </rPr>
      <t>호</t>
    </r>
  </si>
  <si>
    <r>
      <rPr>
        <sz val="10"/>
        <rFont val="DejaVu Sans"/>
        <family val="2"/>
      </rPr>
      <t>엘에스에스메티스제</t>
    </r>
    <r>
      <rPr>
        <sz val="10"/>
        <rFont val="Arial"/>
        <family val="2"/>
      </rPr>
      <t>4</t>
    </r>
    <r>
      <rPr>
        <sz val="10"/>
        <rFont val="DejaVu Sans"/>
        <family val="2"/>
      </rPr>
      <t>호창업벤처전문</t>
    </r>
  </si>
  <si>
    <t>브랜드케이청년창조기술금융</t>
  </si>
  <si>
    <t>티제이시너지</t>
  </si>
  <si>
    <t>스마트제삼호</t>
  </si>
  <si>
    <t>엘엑스엠넥스트</t>
  </si>
  <si>
    <t>아이비케이엘엑스지스케일업수출지원</t>
  </si>
  <si>
    <t>엘케이한국투자아인스</t>
  </si>
  <si>
    <r>
      <rPr>
        <sz val="10"/>
        <rFont val="DejaVu Sans"/>
        <family val="2"/>
      </rPr>
      <t>엠디엠오에프피제</t>
    </r>
    <r>
      <rPr>
        <sz val="10"/>
        <rFont val="Arial"/>
        <family val="2"/>
      </rPr>
      <t>1</t>
    </r>
    <r>
      <rPr>
        <sz val="10"/>
        <rFont val="DejaVu Sans"/>
        <family val="2"/>
      </rPr>
      <t>호</t>
    </r>
  </si>
  <si>
    <r>
      <rPr>
        <sz val="10"/>
        <rFont val="DejaVu Sans"/>
        <family val="2"/>
      </rPr>
      <t>글로벌비전도약</t>
    </r>
    <r>
      <rPr>
        <sz val="10"/>
        <rFont val="Arial"/>
        <family val="2"/>
      </rPr>
      <t>1</t>
    </r>
    <r>
      <rPr>
        <sz val="10"/>
        <rFont val="DejaVu Sans"/>
        <family val="2"/>
      </rPr>
      <t>호</t>
    </r>
  </si>
  <si>
    <t>엠비케이파트너스삼호</t>
  </si>
  <si>
    <t>엠비케이파트너스삼호의이</t>
  </si>
  <si>
    <t>엠비케이파트너스사호</t>
  </si>
  <si>
    <r>
      <rPr>
        <sz val="10"/>
        <rFont val="DejaVu Sans"/>
        <family val="2"/>
      </rPr>
      <t>엠비케이파트너스</t>
    </r>
    <r>
      <rPr>
        <sz val="10"/>
        <rFont val="Arial"/>
        <family val="2"/>
      </rPr>
      <t>2019</t>
    </r>
    <r>
      <rPr>
        <sz val="10"/>
        <rFont val="DejaVu Sans"/>
        <family val="2"/>
      </rPr>
      <t>의</t>
    </r>
    <r>
      <rPr>
        <sz val="10"/>
        <rFont val="Arial"/>
        <family val="2"/>
      </rPr>
      <t>2</t>
    </r>
  </si>
  <si>
    <t>엠비케이파트너스오호의이</t>
  </si>
  <si>
    <t>엠비케이파트너스오호</t>
  </si>
  <si>
    <r>
      <rPr>
        <sz val="10"/>
        <rFont val="DejaVu Sans"/>
        <family val="2"/>
      </rPr>
      <t>덴티스트리홀딩스</t>
    </r>
    <r>
      <rPr>
        <sz val="10"/>
        <rFont val="Arial"/>
        <family val="2"/>
      </rPr>
      <t>2023</t>
    </r>
  </si>
  <si>
    <r>
      <rPr>
        <sz val="10"/>
        <rFont val="DejaVu Sans"/>
        <family val="2"/>
      </rPr>
      <t>덴티스트리홀딩스</t>
    </r>
    <r>
      <rPr>
        <sz val="10"/>
        <rFont val="Arial"/>
        <family val="2"/>
      </rPr>
      <t>2023</t>
    </r>
    <r>
      <rPr>
        <sz val="10"/>
        <rFont val="DejaVu Sans"/>
        <family val="2"/>
      </rPr>
      <t>의</t>
    </r>
    <r>
      <rPr>
        <sz val="10"/>
        <rFont val="Arial"/>
        <family val="2"/>
      </rPr>
      <t>1</t>
    </r>
  </si>
  <si>
    <r>
      <rPr>
        <sz val="10"/>
        <rFont val="DejaVu Sans"/>
        <family val="2"/>
      </rPr>
      <t>덴티스트리홀딩스</t>
    </r>
    <r>
      <rPr>
        <sz val="10"/>
        <rFont val="Arial"/>
        <family val="2"/>
      </rPr>
      <t>2023</t>
    </r>
    <r>
      <rPr>
        <sz val="10"/>
        <rFont val="DejaVu Sans"/>
        <family val="2"/>
      </rPr>
      <t>의</t>
    </r>
    <r>
      <rPr>
        <sz val="10"/>
        <rFont val="Arial"/>
        <family val="2"/>
      </rPr>
      <t>2</t>
    </r>
  </si>
  <si>
    <r>
      <rPr>
        <sz val="10"/>
        <rFont val="DejaVu Sans"/>
        <family val="2"/>
      </rPr>
      <t>덴티스트리홀딩스</t>
    </r>
    <r>
      <rPr>
        <sz val="10"/>
        <rFont val="Arial"/>
        <family val="2"/>
      </rPr>
      <t>2023</t>
    </r>
    <r>
      <rPr>
        <sz val="10"/>
        <rFont val="DejaVu Sans"/>
        <family val="2"/>
      </rPr>
      <t>의</t>
    </r>
    <r>
      <rPr>
        <sz val="10"/>
        <rFont val="Arial"/>
        <family val="2"/>
      </rPr>
      <t>3</t>
    </r>
  </si>
  <si>
    <r>
      <rPr>
        <sz val="10"/>
        <rFont val="DejaVu Sans"/>
        <family val="2"/>
      </rPr>
      <t>에너자이저</t>
    </r>
    <r>
      <rPr>
        <sz val="10"/>
        <rFont val="Arial"/>
        <family val="2"/>
      </rPr>
      <t>2023</t>
    </r>
  </si>
  <si>
    <r>
      <rPr>
        <sz val="10"/>
        <rFont val="DejaVu Sans"/>
        <family val="2"/>
      </rPr>
      <t>엠비케이파트너스</t>
    </r>
    <r>
      <rPr>
        <sz val="10"/>
        <rFont val="Arial"/>
        <family val="2"/>
      </rPr>
      <t>2023</t>
    </r>
    <r>
      <rPr>
        <sz val="10"/>
        <rFont val="DejaVu Sans"/>
        <family val="2"/>
      </rPr>
      <t>의</t>
    </r>
    <r>
      <rPr>
        <sz val="10"/>
        <rFont val="Arial"/>
        <family val="2"/>
      </rPr>
      <t>1</t>
    </r>
    <r>
      <rPr>
        <sz val="10"/>
        <rFont val="DejaVu Sans"/>
        <family val="2"/>
      </rPr>
      <t>호</t>
    </r>
  </si>
  <si>
    <r>
      <rPr>
        <sz val="10"/>
        <rFont val="DejaVu Sans"/>
        <family val="2"/>
      </rPr>
      <t>엠비케이파트너스</t>
    </r>
    <r>
      <rPr>
        <sz val="10"/>
        <rFont val="Arial"/>
        <family val="2"/>
      </rPr>
      <t>2023</t>
    </r>
    <r>
      <rPr>
        <sz val="10"/>
        <rFont val="DejaVu Sans"/>
        <family val="2"/>
      </rPr>
      <t>의</t>
    </r>
    <r>
      <rPr>
        <sz val="10"/>
        <rFont val="Arial"/>
        <family val="2"/>
      </rPr>
      <t>2</t>
    </r>
    <r>
      <rPr>
        <sz val="10"/>
        <rFont val="DejaVu Sans"/>
        <family val="2"/>
      </rPr>
      <t>호</t>
    </r>
  </si>
  <si>
    <t>엠비케이파트너스스페셜시튜에이션이호</t>
  </si>
  <si>
    <t>엠비케이파트너스육호의이</t>
  </si>
  <si>
    <r>
      <rPr>
        <sz val="10"/>
        <rFont val="DejaVu Sans"/>
        <family val="2"/>
      </rPr>
      <t>덴티스트리홀딩스</t>
    </r>
    <r>
      <rPr>
        <sz val="10"/>
        <rFont val="Arial"/>
        <family val="2"/>
      </rPr>
      <t>2023</t>
    </r>
    <r>
      <rPr>
        <sz val="10"/>
        <rFont val="DejaVu Sans"/>
        <family val="2"/>
      </rPr>
      <t>의</t>
    </r>
    <r>
      <rPr>
        <sz val="10"/>
        <rFont val="Arial"/>
        <family val="2"/>
      </rPr>
      <t>4</t>
    </r>
  </si>
  <si>
    <r>
      <rPr>
        <sz val="10"/>
        <rFont val="DejaVu Sans"/>
        <family val="2"/>
      </rPr>
      <t>덴티스트리홀딩스</t>
    </r>
    <r>
      <rPr>
        <sz val="10"/>
        <rFont val="Arial"/>
        <family val="2"/>
      </rPr>
      <t>2023</t>
    </r>
    <r>
      <rPr>
        <sz val="10"/>
        <rFont val="DejaVu Sans"/>
        <family val="2"/>
      </rPr>
      <t>의</t>
    </r>
    <r>
      <rPr>
        <sz val="10"/>
        <rFont val="Arial"/>
        <family val="2"/>
      </rPr>
      <t>5</t>
    </r>
  </si>
  <si>
    <r>
      <rPr>
        <sz val="10"/>
        <rFont val="DejaVu Sans"/>
        <family val="2"/>
      </rPr>
      <t>알프스파이낸스</t>
    </r>
    <r>
      <rPr>
        <sz val="10"/>
        <rFont val="Arial"/>
        <family val="2"/>
      </rPr>
      <t>2024</t>
    </r>
  </si>
  <si>
    <t>엠비케이파트너스육호</t>
  </si>
  <si>
    <r>
      <rPr>
        <sz val="10"/>
        <rFont val="DejaVu Sans"/>
        <family val="2"/>
      </rPr>
      <t>엠씨모빌리티제</t>
    </r>
    <r>
      <rPr>
        <sz val="10"/>
        <rFont val="Arial"/>
        <family val="2"/>
      </rPr>
      <t>2</t>
    </r>
    <r>
      <rPr>
        <sz val="10"/>
        <rFont val="DejaVu Sans"/>
        <family val="2"/>
      </rPr>
      <t>호</t>
    </r>
  </si>
  <si>
    <t>엠씨바이오</t>
  </si>
  <si>
    <t>엠씨이브이알</t>
  </si>
  <si>
    <r>
      <rPr>
        <sz val="10"/>
        <rFont val="DejaVu Sans"/>
        <family val="2"/>
      </rPr>
      <t>엠씨제</t>
    </r>
    <r>
      <rPr>
        <sz val="10"/>
        <rFont val="Arial"/>
        <family val="2"/>
      </rPr>
      <t>1</t>
    </r>
    <r>
      <rPr>
        <sz val="10"/>
        <rFont val="DejaVu Sans"/>
        <family val="2"/>
      </rPr>
      <t>호동남아</t>
    </r>
  </si>
  <si>
    <r>
      <rPr>
        <sz val="10"/>
        <rFont val="DejaVu Sans"/>
        <family val="2"/>
      </rPr>
      <t>엠씨제</t>
    </r>
    <r>
      <rPr>
        <sz val="10"/>
        <rFont val="Arial"/>
        <family val="2"/>
      </rPr>
      <t>1</t>
    </r>
    <r>
      <rPr>
        <sz val="10"/>
        <rFont val="DejaVu Sans"/>
        <family val="2"/>
      </rPr>
      <t>호비에스이</t>
    </r>
  </si>
  <si>
    <r>
      <rPr>
        <sz val="10"/>
        <rFont val="DejaVu Sans"/>
        <family val="2"/>
      </rPr>
      <t>엠씨제</t>
    </r>
    <r>
      <rPr>
        <sz val="10"/>
        <rFont val="Arial"/>
        <family val="2"/>
      </rPr>
      <t>2</t>
    </r>
    <r>
      <rPr>
        <sz val="10"/>
        <rFont val="DejaVu Sans"/>
        <family val="2"/>
      </rPr>
      <t>호그로우쓰</t>
    </r>
  </si>
  <si>
    <r>
      <rPr>
        <sz val="10"/>
        <rFont val="DejaVu Sans"/>
        <family val="2"/>
      </rPr>
      <t>엠씨제</t>
    </r>
    <r>
      <rPr>
        <sz val="10"/>
        <rFont val="Arial"/>
        <family val="2"/>
      </rPr>
      <t>2</t>
    </r>
    <r>
      <rPr>
        <sz val="10"/>
        <rFont val="DejaVu Sans"/>
        <family val="2"/>
      </rPr>
      <t>호동남아</t>
    </r>
  </si>
  <si>
    <t>카니예</t>
  </si>
  <si>
    <t>타이키엠씨모빌리티</t>
  </si>
  <si>
    <t>엠씨에버그린</t>
  </si>
  <si>
    <t>엠씨코어</t>
  </si>
  <si>
    <r>
      <rPr>
        <sz val="10"/>
        <rFont val="DejaVu Sans"/>
        <family val="2"/>
      </rPr>
      <t>엠제이엠모네타제</t>
    </r>
    <r>
      <rPr>
        <sz val="10"/>
        <rFont val="Arial"/>
        <family val="2"/>
      </rPr>
      <t>1</t>
    </r>
    <r>
      <rPr>
        <sz val="10"/>
        <rFont val="DejaVu Sans"/>
        <family val="2"/>
      </rPr>
      <t>호</t>
    </r>
  </si>
  <si>
    <t>한국투자시리우스바이아웃</t>
  </si>
  <si>
    <r>
      <rPr>
        <sz val="10"/>
        <rFont val="DejaVu Sans"/>
        <family val="2"/>
      </rPr>
      <t>한국투자제조혁신제</t>
    </r>
    <r>
      <rPr>
        <sz val="10"/>
        <rFont val="Arial"/>
        <family val="2"/>
      </rPr>
      <t>1</t>
    </r>
    <r>
      <rPr>
        <sz val="10"/>
        <rFont val="DejaVu Sans"/>
        <family val="2"/>
      </rPr>
      <t>호</t>
    </r>
  </si>
  <si>
    <t>유나이티드피에프제일차기업재무안정</t>
  </si>
  <si>
    <t>유암코기업리바운스제삼차기업재무안정</t>
  </si>
  <si>
    <t>유암코기업리바운스제칠차기업재무안정</t>
  </si>
  <si>
    <t>유암코삼호그린중소기업성장</t>
  </si>
  <si>
    <t>유암코기업리바운스제팔차기업재무안정</t>
  </si>
  <si>
    <t>유암코리바운스제일차기업재무안정</t>
  </si>
  <si>
    <r>
      <rPr>
        <sz val="10"/>
        <rFont val="DejaVu Sans"/>
        <family val="2"/>
      </rPr>
      <t>온기업</t>
    </r>
    <r>
      <rPr>
        <sz val="10"/>
        <rFont val="Arial"/>
        <family val="2"/>
      </rPr>
      <t>1</t>
    </r>
    <r>
      <rPr>
        <sz val="10"/>
        <rFont val="DejaVu Sans"/>
        <family val="2"/>
      </rPr>
      <t>호기업재무안정</t>
    </r>
  </si>
  <si>
    <t>유암코리바운스제이차기업재무안정</t>
  </si>
  <si>
    <t>유암코키스톤구조혁신기업재무안정</t>
  </si>
  <si>
    <t>유암코기업리바운스제십차기업재무안정</t>
  </si>
  <si>
    <t>유암코기업리바운스제십일차기업재무안정</t>
  </si>
  <si>
    <t>유암코기업리바운스제십이차기업재무안정</t>
  </si>
  <si>
    <t>로하스</t>
  </si>
  <si>
    <t>유암코기업리바운스제십사차기업재무안정</t>
  </si>
  <si>
    <t>유암코기업리바운스제십삼차기업재무안정</t>
  </si>
  <si>
    <r>
      <rPr>
        <sz val="10"/>
        <rFont val="DejaVu Sans"/>
        <family val="2"/>
      </rPr>
      <t>유암코케이비크레딧제</t>
    </r>
    <r>
      <rPr>
        <sz val="10"/>
        <rFont val="Arial"/>
        <family val="2"/>
      </rPr>
      <t>1</t>
    </r>
    <r>
      <rPr>
        <sz val="10"/>
        <rFont val="DejaVu Sans"/>
        <family val="2"/>
      </rPr>
      <t>호</t>
    </r>
  </si>
  <si>
    <t>유암코라헨느기업재무안정</t>
  </si>
  <si>
    <t>유암코아이비케이피에프제이차</t>
  </si>
  <si>
    <t>유암코아이비케이피에프제일차</t>
  </si>
  <si>
    <t>유암코엠지피에프정상화</t>
  </si>
  <si>
    <r>
      <rPr>
        <sz val="10"/>
        <rFont val="DejaVu Sans"/>
        <family val="2"/>
      </rPr>
      <t>유암코젤코바제</t>
    </r>
    <r>
      <rPr>
        <sz val="10"/>
        <rFont val="Arial"/>
        <family val="2"/>
      </rPr>
      <t>1</t>
    </r>
    <r>
      <rPr>
        <sz val="10"/>
        <rFont val="DejaVu Sans"/>
        <family val="2"/>
      </rPr>
      <t>호</t>
    </r>
  </si>
  <si>
    <t>옐로씨티앤케이리퍼비시</t>
  </si>
  <si>
    <r>
      <rPr>
        <sz val="10"/>
        <rFont val="DejaVu Sans"/>
        <family val="2"/>
      </rPr>
      <t>옐로씨매니지먼트프론티어</t>
    </r>
    <r>
      <rPr>
        <sz val="10"/>
        <rFont val="Arial"/>
        <family val="2"/>
      </rPr>
      <t>1</t>
    </r>
    <r>
      <rPr>
        <sz val="10"/>
        <rFont val="DejaVu Sans"/>
        <family val="2"/>
      </rPr>
      <t>호</t>
    </r>
  </si>
  <si>
    <r>
      <rPr>
        <sz val="10"/>
        <rFont val="DejaVu Sans"/>
        <family val="2"/>
      </rPr>
      <t>옐로씨프론티어</t>
    </r>
    <r>
      <rPr>
        <sz val="10"/>
        <rFont val="Arial"/>
        <family val="2"/>
      </rPr>
      <t>2</t>
    </r>
    <r>
      <rPr>
        <sz val="10"/>
        <rFont val="DejaVu Sans"/>
        <family val="2"/>
      </rPr>
      <t>호</t>
    </r>
  </si>
  <si>
    <t>오라클글로벌파마</t>
  </si>
  <si>
    <r>
      <rPr>
        <sz val="10"/>
        <rFont val="DejaVu Sans"/>
        <family val="2"/>
      </rPr>
      <t>오로라동반성장프로젝트펀드제</t>
    </r>
    <r>
      <rPr>
        <sz val="10"/>
        <rFont val="Arial"/>
        <family val="2"/>
      </rPr>
      <t>1</t>
    </r>
    <r>
      <rPr>
        <sz val="10"/>
        <rFont val="DejaVu Sans"/>
        <family val="2"/>
      </rPr>
      <t>호</t>
    </r>
  </si>
  <si>
    <r>
      <rPr>
        <sz val="10"/>
        <rFont val="DejaVu Sans"/>
        <family val="2"/>
      </rPr>
      <t>오로라동반성장프로젝트펀드제</t>
    </r>
    <r>
      <rPr>
        <sz val="10"/>
        <rFont val="Arial"/>
        <family val="2"/>
      </rPr>
      <t>2</t>
    </r>
    <r>
      <rPr>
        <sz val="10"/>
        <rFont val="DejaVu Sans"/>
        <family val="2"/>
      </rPr>
      <t>호</t>
    </r>
  </si>
  <si>
    <r>
      <rPr>
        <sz val="10"/>
        <rFont val="DejaVu Sans"/>
        <family val="2"/>
      </rPr>
      <t>오아시스제</t>
    </r>
    <r>
      <rPr>
        <sz val="10"/>
        <rFont val="Arial"/>
        <family val="2"/>
      </rPr>
      <t>1</t>
    </r>
    <r>
      <rPr>
        <sz val="10"/>
        <rFont val="DejaVu Sans"/>
        <family val="2"/>
      </rPr>
      <t>호</t>
    </r>
  </si>
  <si>
    <r>
      <rPr>
        <sz val="10"/>
        <rFont val="DejaVu Sans"/>
        <family val="2"/>
      </rPr>
      <t>오아시스제</t>
    </r>
    <r>
      <rPr>
        <sz val="10"/>
        <rFont val="Arial"/>
        <family val="2"/>
      </rPr>
      <t>2</t>
    </r>
    <r>
      <rPr>
        <sz val="10"/>
        <rFont val="DejaVu Sans"/>
        <family val="2"/>
      </rPr>
      <t>호</t>
    </r>
  </si>
  <si>
    <r>
      <rPr>
        <sz val="10"/>
        <rFont val="DejaVu Sans"/>
        <family val="2"/>
      </rPr>
      <t>오아시스제</t>
    </r>
    <r>
      <rPr>
        <sz val="10"/>
        <rFont val="Arial"/>
        <family val="2"/>
      </rPr>
      <t>5</t>
    </r>
    <r>
      <rPr>
        <sz val="10"/>
        <rFont val="DejaVu Sans"/>
        <family val="2"/>
      </rPr>
      <t>호</t>
    </r>
  </si>
  <si>
    <r>
      <rPr>
        <sz val="10"/>
        <rFont val="DejaVu Sans"/>
        <family val="2"/>
      </rPr>
      <t>오엔제</t>
    </r>
    <r>
      <rPr>
        <sz val="10"/>
        <rFont val="Arial"/>
        <family val="2"/>
      </rPr>
      <t>1</t>
    </r>
    <r>
      <rPr>
        <sz val="10"/>
        <rFont val="DejaVu Sans"/>
        <family val="2"/>
      </rPr>
      <t>호</t>
    </r>
  </si>
  <si>
    <r>
      <rPr>
        <sz val="10"/>
        <rFont val="DejaVu Sans"/>
        <family val="2"/>
      </rPr>
      <t>오케스트라프라이빗에쿼티제</t>
    </r>
    <r>
      <rPr>
        <sz val="10"/>
        <rFont val="Arial"/>
        <family val="2"/>
      </rPr>
      <t>3</t>
    </r>
    <r>
      <rPr>
        <sz val="10"/>
        <rFont val="DejaVu Sans"/>
        <family val="2"/>
      </rPr>
      <t>호</t>
    </r>
  </si>
  <si>
    <r>
      <rPr>
        <sz val="10"/>
        <rFont val="DejaVu Sans"/>
        <family val="2"/>
      </rPr>
      <t>오케스트라프라이빗에쿼티제</t>
    </r>
    <r>
      <rPr>
        <sz val="10"/>
        <rFont val="Arial"/>
        <family val="2"/>
      </rPr>
      <t>4</t>
    </r>
    <r>
      <rPr>
        <sz val="10"/>
        <rFont val="DejaVu Sans"/>
        <family val="2"/>
      </rPr>
      <t>호</t>
    </r>
  </si>
  <si>
    <r>
      <rPr>
        <sz val="10"/>
        <rFont val="DejaVu Sans"/>
        <family val="2"/>
      </rPr>
      <t>오큘러스제</t>
    </r>
    <r>
      <rPr>
        <sz val="10"/>
        <rFont val="Arial"/>
        <family val="2"/>
      </rPr>
      <t>1</t>
    </r>
    <r>
      <rPr>
        <sz val="10"/>
        <rFont val="DejaVu Sans"/>
        <family val="2"/>
      </rPr>
      <t>호</t>
    </r>
  </si>
  <si>
    <r>
      <rPr>
        <sz val="10"/>
        <rFont val="DejaVu Sans"/>
        <family val="2"/>
      </rPr>
      <t>오큘러스제</t>
    </r>
    <r>
      <rPr>
        <sz val="10"/>
        <rFont val="Arial"/>
        <family val="2"/>
      </rPr>
      <t>2</t>
    </r>
    <r>
      <rPr>
        <sz val="10"/>
        <rFont val="DejaVu Sans"/>
        <family val="2"/>
      </rPr>
      <t>호</t>
    </r>
  </si>
  <si>
    <r>
      <rPr>
        <sz val="10"/>
        <rFont val="DejaVu Sans"/>
        <family val="2"/>
      </rPr>
      <t>오큘러스제</t>
    </r>
    <r>
      <rPr>
        <sz val="10"/>
        <rFont val="Arial"/>
        <family val="2"/>
      </rPr>
      <t>3</t>
    </r>
    <r>
      <rPr>
        <sz val="10"/>
        <rFont val="DejaVu Sans"/>
        <family val="2"/>
      </rPr>
      <t>호</t>
    </r>
  </si>
  <si>
    <r>
      <rPr>
        <sz val="10"/>
        <rFont val="DejaVu Sans"/>
        <family val="2"/>
      </rPr>
      <t>오티엄제</t>
    </r>
    <r>
      <rPr>
        <sz val="10"/>
        <rFont val="Arial"/>
        <family val="2"/>
      </rPr>
      <t>1</t>
    </r>
    <r>
      <rPr>
        <sz val="10"/>
        <rFont val="DejaVu Sans"/>
        <family val="2"/>
      </rPr>
      <t>호</t>
    </r>
  </si>
  <si>
    <r>
      <rPr>
        <sz val="10"/>
        <rFont val="DejaVu Sans"/>
        <family val="2"/>
      </rPr>
      <t>오티엄제</t>
    </r>
    <r>
      <rPr>
        <sz val="10"/>
        <rFont val="Arial"/>
        <family val="2"/>
      </rPr>
      <t>3</t>
    </r>
    <r>
      <rPr>
        <sz val="10"/>
        <rFont val="DejaVu Sans"/>
        <family val="2"/>
      </rPr>
      <t>호</t>
    </r>
  </si>
  <si>
    <t>포워드오티엄</t>
  </si>
  <si>
    <r>
      <rPr>
        <sz val="10"/>
        <rFont val="DejaVu Sans"/>
        <family val="2"/>
      </rPr>
      <t>오페즈에코프라임제</t>
    </r>
    <r>
      <rPr>
        <sz val="10"/>
        <rFont val="Arial"/>
        <family val="2"/>
      </rPr>
      <t>1</t>
    </r>
    <r>
      <rPr>
        <sz val="10"/>
        <rFont val="DejaVu Sans"/>
        <family val="2"/>
      </rPr>
      <t>호</t>
    </r>
  </si>
  <si>
    <t>와디즈유니크밸류</t>
  </si>
  <si>
    <t>케이비국민카드라이프스타일</t>
  </si>
  <si>
    <t>메이커스케일업</t>
  </si>
  <si>
    <t>와이어드동반성장</t>
  </si>
  <si>
    <t>와이어드그린</t>
  </si>
  <si>
    <t>와이어드기업재무안정</t>
  </si>
  <si>
    <t>와이어드클로버</t>
  </si>
  <si>
    <t>와이제이에이헬스케어성장지원</t>
  </si>
  <si>
    <t>씨에이치기업재무안정제일호</t>
  </si>
  <si>
    <r>
      <rPr>
        <sz val="10"/>
        <rFont val="DejaVu Sans"/>
        <family val="2"/>
      </rPr>
      <t>우리스마트금융산업제</t>
    </r>
    <r>
      <rPr>
        <sz val="10"/>
        <rFont val="Arial"/>
        <family val="2"/>
      </rPr>
      <t>1</t>
    </r>
    <r>
      <rPr>
        <sz val="10"/>
        <rFont val="DejaVu Sans"/>
        <family val="2"/>
      </rPr>
      <t>호</t>
    </r>
  </si>
  <si>
    <t>우리신영그로쓰캡제일호</t>
  </si>
  <si>
    <t>우리큐기업재무안정</t>
  </si>
  <si>
    <r>
      <rPr>
        <sz val="10"/>
        <rFont val="DejaVu Sans"/>
        <family val="2"/>
      </rPr>
      <t>그린이에스지성장제</t>
    </r>
    <r>
      <rPr>
        <sz val="10"/>
        <rFont val="Arial"/>
        <family val="2"/>
      </rPr>
      <t>1</t>
    </r>
    <r>
      <rPr>
        <sz val="10"/>
        <rFont val="DejaVu Sans"/>
        <family val="2"/>
      </rPr>
      <t>호</t>
    </r>
  </si>
  <si>
    <t>GP3</t>
  </si>
  <si>
    <r>
      <rPr>
        <sz val="10"/>
        <rFont val="DejaVu Sans"/>
        <family val="2"/>
      </rPr>
      <t>우리기업재무안정제</t>
    </r>
    <r>
      <rPr>
        <sz val="10"/>
        <rFont val="Arial"/>
        <family val="2"/>
      </rPr>
      <t>1</t>
    </r>
    <r>
      <rPr>
        <sz val="10"/>
        <rFont val="DejaVu Sans"/>
        <family val="2"/>
      </rPr>
      <t>호</t>
    </r>
  </si>
  <si>
    <r>
      <rPr>
        <sz val="10"/>
        <rFont val="DejaVu Sans"/>
        <family val="2"/>
      </rPr>
      <t>원레이크넥스트</t>
    </r>
    <r>
      <rPr>
        <sz val="10"/>
        <rFont val="Arial"/>
        <family val="2"/>
      </rPr>
      <t>2022</t>
    </r>
  </si>
  <si>
    <r>
      <rPr>
        <sz val="10"/>
        <rFont val="DejaVu Sans"/>
        <family val="2"/>
      </rPr>
      <t>원익뉴그로쓰</t>
    </r>
    <r>
      <rPr>
        <sz val="10"/>
        <rFont val="Arial"/>
        <family val="2"/>
      </rPr>
      <t>2018</t>
    </r>
  </si>
  <si>
    <r>
      <rPr>
        <sz val="10"/>
        <rFont val="DejaVu Sans"/>
        <family val="2"/>
      </rPr>
      <t>원익뉴그로쓰</t>
    </r>
    <r>
      <rPr>
        <sz val="10"/>
        <rFont val="Arial"/>
        <family val="2"/>
      </rPr>
      <t>2020</t>
    </r>
  </si>
  <si>
    <r>
      <rPr>
        <sz val="10"/>
        <rFont val="DejaVu Sans"/>
        <family val="2"/>
      </rPr>
      <t>원익엠앤에이</t>
    </r>
    <r>
      <rPr>
        <sz val="10"/>
        <rFont val="Arial"/>
        <family val="2"/>
      </rPr>
      <t>2024</t>
    </r>
  </si>
  <si>
    <r>
      <rPr>
        <sz val="10"/>
        <rFont val="DejaVu Sans"/>
        <family val="2"/>
      </rPr>
      <t>웨일제</t>
    </r>
    <r>
      <rPr>
        <sz val="10"/>
        <rFont val="Arial"/>
        <family val="2"/>
      </rPr>
      <t>1</t>
    </r>
    <r>
      <rPr>
        <sz val="10"/>
        <rFont val="DejaVu Sans"/>
        <family val="2"/>
      </rPr>
      <t>호중소중견기업엠앤에이</t>
    </r>
  </si>
  <si>
    <t>티케이</t>
  </si>
  <si>
    <r>
      <rPr>
        <sz val="10"/>
        <rFont val="DejaVu Sans"/>
        <family val="2"/>
      </rPr>
      <t>웰투시인베스트먼트리빌딩챔피언제</t>
    </r>
    <r>
      <rPr>
        <sz val="10"/>
        <rFont val="Arial"/>
        <family val="2"/>
      </rPr>
      <t>1</t>
    </r>
    <r>
      <rPr>
        <sz val="10"/>
        <rFont val="DejaVu Sans"/>
        <family val="2"/>
      </rPr>
      <t>호</t>
    </r>
  </si>
  <si>
    <r>
      <rPr>
        <sz val="10"/>
        <rFont val="DejaVu Sans"/>
        <family val="2"/>
      </rPr>
      <t>웰투시인베스트먼트리빌딩챔피언제</t>
    </r>
    <r>
      <rPr>
        <sz val="10"/>
        <rFont val="Arial"/>
        <family val="2"/>
      </rPr>
      <t>1</t>
    </r>
    <r>
      <rPr>
        <sz val="10"/>
        <rFont val="DejaVu Sans"/>
        <family val="2"/>
      </rPr>
      <t>호공동투자</t>
    </r>
  </si>
  <si>
    <r>
      <rPr>
        <sz val="10"/>
        <rFont val="DejaVu Sans"/>
        <family val="2"/>
      </rPr>
      <t>웰투시인베스트먼트리빌딩챔피언제</t>
    </r>
    <r>
      <rPr>
        <sz val="10"/>
        <rFont val="Arial"/>
        <family val="2"/>
      </rPr>
      <t>3</t>
    </r>
    <r>
      <rPr>
        <sz val="10"/>
        <rFont val="DejaVu Sans"/>
        <family val="2"/>
      </rPr>
      <t>호공동투자</t>
    </r>
  </si>
  <si>
    <r>
      <rPr>
        <sz val="10"/>
        <rFont val="DejaVu Sans"/>
        <family val="2"/>
      </rPr>
      <t>웰투시인베스트먼트리빌딩챔피언제</t>
    </r>
    <r>
      <rPr>
        <sz val="10"/>
        <rFont val="Arial"/>
        <family val="2"/>
      </rPr>
      <t>2</t>
    </r>
    <r>
      <rPr>
        <sz val="10"/>
        <rFont val="DejaVu Sans"/>
        <family val="2"/>
      </rPr>
      <t>호</t>
    </r>
  </si>
  <si>
    <t>위더스쁘띠</t>
  </si>
  <si>
    <r>
      <rPr>
        <sz val="10"/>
        <rFont val="DejaVu Sans"/>
        <family val="2"/>
      </rPr>
      <t>위더스벤처대출제</t>
    </r>
    <r>
      <rPr>
        <sz val="10"/>
        <rFont val="Arial"/>
        <family val="2"/>
      </rPr>
      <t>1</t>
    </r>
    <r>
      <rPr>
        <sz val="10"/>
        <rFont val="DejaVu Sans"/>
        <family val="2"/>
      </rPr>
      <t>호</t>
    </r>
  </si>
  <si>
    <r>
      <rPr>
        <sz val="10"/>
        <rFont val="DejaVu Sans"/>
        <family val="2"/>
      </rPr>
      <t>위시그니처블랙</t>
    </r>
    <r>
      <rPr>
        <sz val="10"/>
        <rFont val="Arial"/>
        <family val="2"/>
      </rPr>
      <t>2</t>
    </r>
    <r>
      <rPr>
        <sz val="10"/>
        <rFont val="DejaVu Sans"/>
        <family val="2"/>
      </rPr>
      <t>호</t>
    </r>
  </si>
  <si>
    <t>윈터골드모빌리티제일호</t>
  </si>
  <si>
    <t>유씨케이제이호</t>
  </si>
  <si>
    <t>유씨케이오아시스</t>
  </si>
  <si>
    <t>유씨케이블랙버드</t>
  </si>
  <si>
    <t>유씨케이블랙버드의일호</t>
  </si>
  <si>
    <t>유씨케이제삼의비호</t>
  </si>
  <si>
    <t>유씨케이제삼의에이호</t>
  </si>
  <si>
    <t>유씨케이제삼의일호</t>
  </si>
  <si>
    <t>유씨케이제삼호</t>
  </si>
  <si>
    <r>
      <rPr>
        <sz val="10"/>
        <rFont val="DejaVu Sans"/>
        <family val="2"/>
      </rPr>
      <t>유안타세컨더리</t>
    </r>
    <r>
      <rPr>
        <sz val="10"/>
        <rFont val="Arial"/>
        <family val="2"/>
      </rPr>
      <t>3</t>
    </r>
    <r>
      <rPr>
        <sz val="10"/>
        <rFont val="DejaVu Sans"/>
        <family val="2"/>
      </rPr>
      <t>호</t>
    </r>
  </si>
  <si>
    <t>유안타케이바이오백신블록버스터</t>
  </si>
  <si>
    <t>유진신영기업구조혁신기업재무안정</t>
  </si>
  <si>
    <t>유진유니콘</t>
  </si>
  <si>
    <r>
      <rPr>
        <sz val="10"/>
        <rFont val="DejaVu Sans"/>
        <family val="2"/>
      </rPr>
      <t>인프라이니셔티브</t>
    </r>
    <r>
      <rPr>
        <sz val="10"/>
        <rFont val="Arial"/>
        <family val="2"/>
      </rPr>
      <t>1</t>
    </r>
    <r>
      <rPr>
        <sz val="10"/>
        <rFont val="DejaVu Sans"/>
        <family val="2"/>
      </rPr>
      <t>호</t>
    </r>
  </si>
  <si>
    <t>유진스마트모빌리티</t>
  </si>
  <si>
    <r>
      <rPr>
        <sz val="10"/>
        <rFont val="DejaVu Sans"/>
        <family val="2"/>
      </rPr>
      <t>그린이니셔티브</t>
    </r>
    <r>
      <rPr>
        <sz val="10"/>
        <rFont val="Arial"/>
        <family val="2"/>
      </rPr>
      <t>2</t>
    </r>
    <r>
      <rPr>
        <sz val="10"/>
        <rFont val="DejaVu Sans"/>
        <family val="2"/>
      </rPr>
      <t>호</t>
    </r>
  </si>
  <si>
    <t>유진더블유</t>
  </si>
  <si>
    <t>유진토르</t>
  </si>
  <si>
    <t>유진하나리싸이클링</t>
  </si>
  <si>
    <t>유진고메</t>
  </si>
  <si>
    <t>유티씨이공일팔의일호</t>
  </si>
  <si>
    <t>사이프러스트리</t>
  </si>
  <si>
    <t>유모빌리티</t>
  </si>
  <si>
    <r>
      <rPr>
        <sz val="10"/>
        <rFont val="DejaVu Sans"/>
        <family val="2"/>
      </rPr>
      <t>이니어스블라인드제</t>
    </r>
    <r>
      <rPr>
        <sz val="10"/>
        <rFont val="Arial"/>
        <family val="2"/>
      </rPr>
      <t>1</t>
    </r>
    <r>
      <rPr>
        <sz val="10"/>
        <rFont val="DejaVu Sans"/>
        <family val="2"/>
      </rPr>
      <t>호</t>
    </r>
  </si>
  <si>
    <t>이상제일호</t>
  </si>
  <si>
    <t>갤럭시</t>
  </si>
  <si>
    <r>
      <rPr>
        <sz val="10"/>
        <rFont val="DejaVu Sans"/>
        <family val="2"/>
      </rPr>
      <t>이스트브릿지코리아플러스제</t>
    </r>
    <r>
      <rPr>
        <sz val="10"/>
        <rFont val="Arial"/>
        <family val="2"/>
      </rPr>
      <t>1</t>
    </r>
    <r>
      <rPr>
        <sz val="10"/>
        <rFont val="DejaVu Sans"/>
        <family val="2"/>
      </rPr>
      <t>호</t>
    </r>
  </si>
  <si>
    <t>이비스타밸류업플랫폼</t>
  </si>
  <si>
    <t>이스트브릿지모빌리티</t>
  </si>
  <si>
    <t>이스트브릿지모빌리티원</t>
  </si>
  <si>
    <t>이스트브릿지아시아</t>
  </si>
  <si>
    <r>
      <rPr>
        <sz val="10"/>
        <rFont val="DejaVu Sans"/>
        <family val="2"/>
      </rPr>
      <t>한국투자이스트브릿지글로벌그린에너지제</t>
    </r>
    <r>
      <rPr>
        <sz val="10"/>
        <rFont val="Arial"/>
        <family val="2"/>
      </rPr>
      <t>1</t>
    </r>
    <r>
      <rPr>
        <sz val="10"/>
        <rFont val="DejaVu Sans"/>
        <family val="2"/>
      </rPr>
      <t>호</t>
    </r>
  </si>
  <si>
    <r>
      <rPr>
        <sz val="10"/>
        <rFont val="DejaVu Sans"/>
        <family val="2"/>
      </rPr>
      <t>이앤에프제</t>
    </r>
    <r>
      <rPr>
        <sz val="10"/>
        <rFont val="Arial"/>
        <family val="2"/>
      </rPr>
      <t>1</t>
    </r>
    <r>
      <rPr>
        <sz val="10"/>
        <rFont val="DejaVu Sans"/>
        <family val="2"/>
      </rPr>
      <t>호</t>
    </r>
  </si>
  <si>
    <t>이앤에프블루워터</t>
  </si>
  <si>
    <t>이앤에프밸리</t>
  </si>
  <si>
    <t>이앤에프사파이어</t>
  </si>
  <si>
    <t>이앤에프아이콘제이호</t>
  </si>
  <si>
    <t>이앤에프아이콘제일호</t>
  </si>
  <si>
    <r>
      <rPr>
        <sz val="10"/>
        <rFont val="DejaVu Sans"/>
        <family val="2"/>
      </rPr>
      <t>이앤에프제</t>
    </r>
    <r>
      <rPr>
        <sz val="10"/>
        <rFont val="Arial"/>
        <family val="2"/>
      </rPr>
      <t>2</t>
    </r>
    <r>
      <rPr>
        <sz val="10"/>
        <rFont val="DejaVu Sans"/>
        <family val="2"/>
      </rPr>
      <t>호</t>
    </r>
  </si>
  <si>
    <t>이앤에프다이아몬드</t>
  </si>
  <si>
    <t>이앤에프블랙사파이어</t>
  </si>
  <si>
    <t>케이바이오글로벌헬스케어</t>
  </si>
  <si>
    <r>
      <rPr>
        <sz val="10"/>
        <rFont val="DejaVu Sans"/>
        <family val="2"/>
      </rPr>
      <t>이엠피벨스타로지스틱스</t>
    </r>
    <r>
      <rPr>
        <sz val="10"/>
        <rFont val="Arial"/>
        <family val="2"/>
      </rPr>
      <t>1</t>
    </r>
    <r>
      <rPr>
        <sz val="10"/>
        <rFont val="DejaVu Sans"/>
        <family val="2"/>
      </rPr>
      <t>호</t>
    </r>
  </si>
  <si>
    <r>
      <rPr>
        <sz val="10"/>
        <rFont val="DejaVu Sans"/>
        <family val="2"/>
      </rPr>
      <t>이엠피벨스타로지스틱스</t>
    </r>
    <r>
      <rPr>
        <sz val="10"/>
        <rFont val="Arial"/>
        <family val="2"/>
      </rPr>
      <t>2</t>
    </r>
    <r>
      <rPr>
        <sz val="10"/>
        <rFont val="DejaVu Sans"/>
        <family val="2"/>
      </rPr>
      <t>호</t>
    </r>
  </si>
  <si>
    <r>
      <rPr>
        <sz val="10"/>
        <rFont val="DejaVu Sans"/>
        <family val="2"/>
      </rPr>
      <t>이엠피벨스타로지스틱스</t>
    </r>
    <r>
      <rPr>
        <sz val="10"/>
        <rFont val="Arial"/>
        <family val="2"/>
      </rPr>
      <t>3</t>
    </r>
    <r>
      <rPr>
        <sz val="10"/>
        <rFont val="DejaVu Sans"/>
        <family val="2"/>
      </rPr>
      <t>호</t>
    </r>
  </si>
  <si>
    <r>
      <rPr>
        <sz val="10"/>
        <rFont val="DejaVu Sans"/>
        <family val="2"/>
      </rPr>
      <t>이엠피벨스타로지스틱스</t>
    </r>
    <r>
      <rPr>
        <sz val="10"/>
        <rFont val="Arial"/>
        <family val="2"/>
      </rPr>
      <t>4</t>
    </r>
    <r>
      <rPr>
        <sz val="10"/>
        <rFont val="DejaVu Sans"/>
        <family val="2"/>
      </rPr>
      <t>호</t>
    </r>
  </si>
  <si>
    <t>이음케이알제일호프로젝트공동투자</t>
  </si>
  <si>
    <t>이음제칠호</t>
  </si>
  <si>
    <r>
      <rPr>
        <sz val="10"/>
        <rFont val="DejaVu Sans"/>
        <family val="2"/>
      </rPr>
      <t>이음넥스트스테이지제</t>
    </r>
    <r>
      <rPr>
        <sz val="10"/>
        <rFont val="Arial"/>
        <family val="2"/>
      </rPr>
      <t>1</t>
    </r>
    <r>
      <rPr>
        <sz val="10"/>
        <rFont val="DejaVu Sans"/>
        <family val="2"/>
      </rPr>
      <t>의</t>
    </r>
    <r>
      <rPr>
        <sz val="10"/>
        <rFont val="Arial"/>
        <family val="2"/>
      </rPr>
      <t>1</t>
    </r>
    <r>
      <rPr>
        <sz val="10"/>
        <rFont val="DejaVu Sans"/>
        <family val="2"/>
      </rPr>
      <t>호</t>
    </r>
  </si>
  <si>
    <r>
      <rPr>
        <sz val="10"/>
        <rFont val="DejaVu Sans"/>
        <family val="2"/>
      </rPr>
      <t>이음넥스트스테이지제</t>
    </r>
    <r>
      <rPr>
        <sz val="10"/>
        <rFont val="Arial"/>
        <family val="2"/>
      </rPr>
      <t>1</t>
    </r>
    <r>
      <rPr>
        <sz val="10"/>
        <rFont val="DejaVu Sans"/>
        <family val="2"/>
      </rPr>
      <t>호</t>
    </r>
  </si>
  <si>
    <t>프리미어이음에코</t>
  </si>
  <si>
    <r>
      <rPr>
        <sz val="10"/>
        <rFont val="DejaVu Sans"/>
        <family val="2"/>
      </rPr>
      <t>아이지아이피경영참여형제</t>
    </r>
    <r>
      <rPr>
        <sz val="10"/>
        <rFont val="Arial"/>
        <family val="2"/>
      </rPr>
      <t>1</t>
    </r>
    <r>
      <rPr>
        <sz val="10"/>
        <rFont val="DejaVu Sans"/>
        <family val="2"/>
      </rPr>
      <t>호</t>
    </r>
  </si>
  <si>
    <r>
      <rPr>
        <sz val="10"/>
        <rFont val="DejaVu Sans"/>
        <family val="2"/>
      </rPr>
      <t>이지스로지스틱스벤처제</t>
    </r>
    <r>
      <rPr>
        <sz val="10"/>
        <rFont val="Arial"/>
        <family val="2"/>
      </rPr>
      <t>1</t>
    </r>
    <r>
      <rPr>
        <sz val="10"/>
        <rFont val="DejaVu Sans"/>
        <family val="2"/>
      </rPr>
      <t>호</t>
    </r>
  </si>
  <si>
    <t>이지스제삼호</t>
  </si>
  <si>
    <t>이지스제오호</t>
  </si>
  <si>
    <t>인커스트라이던트어그테크</t>
  </si>
  <si>
    <r>
      <rPr>
        <sz val="10"/>
        <rFont val="DejaVu Sans"/>
        <family val="2"/>
      </rPr>
      <t>아이디아이피투자제</t>
    </r>
    <r>
      <rPr>
        <sz val="10"/>
        <rFont val="Arial"/>
        <family val="2"/>
      </rPr>
      <t>1</t>
    </r>
    <r>
      <rPr>
        <sz val="10"/>
        <rFont val="DejaVu Sans"/>
        <family val="2"/>
      </rPr>
      <t>호창업벤처전문</t>
    </r>
  </si>
  <si>
    <r>
      <rPr>
        <sz val="10"/>
        <rFont val="DejaVu Sans"/>
        <family val="2"/>
      </rPr>
      <t>아이디아이피투자제</t>
    </r>
    <r>
      <rPr>
        <sz val="10"/>
        <rFont val="Arial"/>
        <family val="2"/>
      </rPr>
      <t>2</t>
    </r>
    <r>
      <rPr>
        <sz val="10"/>
        <rFont val="DejaVu Sans"/>
        <family val="2"/>
      </rPr>
      <t>호창업벤처전문</t>
    </r>
  </si>
  <si>
    <r>
      <rPr>
        <sz val="10"/>
        <rFont val="DejaVu Sans"/>
        <family val="2"/>
      </rPr>
      <t>제네시스환경</t>
    </r>
    <r>
      <rPr>
        <sz val="10"/>
        <rFont val="Arial"/>
        <family val="2"/>
      </rPr>
      <t>1</t>
    </r>
    <r>
      <rPr>
        <sz val="10"/>
        <rFont val="DejaVu Sans"/>
        <family val="2"/>
      </rPr>
      <t>호</t>
    </r>
  </si>
  <si>
    <r>
      <rPr>
        <sz val="10"/>
        <rFont val="DejaVu Sans"/>
        <family val="2"/>
      </rPr>
      <t>인피너티이에스지</t>
    </r>
    <r>
      <rPr>
        <sz val="10"/>
        <rFont val="Arial"/>
        <family val="2"/>
      </rPr>
      <t>2</t>
    </r>
    <r>
      <rPr>
        <sz val="10"/>
        <rFont val="DejaVu Sans"/>
        <family val="2"/>
      </rPr>
      <t>호</t>
    </r>
  </si>
  <si>
    <r>
      <rPr>
        <sz val="10"/>
        <rFont val="DejaVu Sans"/>
        <family val="2"/>
      </rPr>
      <t>제네시스북미파워기업</t>
    </r>
    <r>
      <rPr>
        <sz val="10"/>
        <rFont val="Arial"/>
        <family val="2"/>
      </rPr>
      <t>1</t>
    </r>
    <r>
      <rPr>
        <sz val="10"/>
        <rFont val="DejaVu Sans"/>
        <family val="2"/>
      </rPr>
      <t>호</t>
    </r>
  </si>
  <si>
    <r>
      <rPr>
        <sz val="10"/>
        <rFont val="DejaVu Sans"/>
        <family val="2"/>
      </rPr>
      <t>제네시스북미업스트림기업</t>
    </r>
    <r>
      <rPr>
        <sz val="10"/>
        <rFont val="Arial"/>
        <family val="2"/>
      </rPr>
      <t>1</t>
    </r>
    <r>
      <rPr>
        <sz val="10"/>
        <rFont val="DejaVu Sans"/>
        <family val="2"/>
      </rPr>
      <t>호</t>
    </r>
  </si>
  <si>
    <r>
      <rPr>
        <sz val="10"/>
        <rFont val="DejaVu Sans"/>
        <family val="2"/>
      </rPr>
      <t>제네시스환경에너지기업</t>
    </r>
    <r>
      <rPr>
        <sz val="10"/>
        <rFont val="Arial"/>
        <family val="2"/>
      </rPr>
      <t>2</t>
    </r>
    <r>
      <rPr>
        <sz val="10"/>
        <rFont val="DejaVu Sans"/>
        <family val="2"/>
      </rPr>
      <t>호</t>
    </r>
  </si>
  <si>
    <r>
      <rPr>
        <sz val="10"/>
        <rFont val="DejaVu Sans"/>
        <family val="2"/>
      </rPr>
      <t>제네시스하나환경이에스지</t>
    </r>
    <r>
      <rPr>
        <sz val="10"/>
        <rFont val="Arial"/>
        <family val="2"/>
      </rPr>
      <t>1</t>
    </r>
    <r>
      <rPr>
        <sz val="10"/>
        <rFont val="DejaVu Sans"/>
        <family val="2"/>
      </rPr>
      <t>호</t>
    </r>
  </si>
  <si>
    <r>
      <rPr>
        <sz val="10"/>
        <rFont val="DejaVu Sans"/>
        <family val="2"/>
      </rPr>
      <t>제네시스환경에너지기업</t>
    </r>
    <r>
      <rPr>
        <sz val="10"/>
        <rFont val="Arial"/>
        <family val="2"/>
      </rPr>
      <t>3</t>
    </r>
    <r>
      <rPr>
        <sz val="10"/>
        <rFont val="DejaVu Sans"/>
        <family val="2"/>
      </rPr>
      <t>호</t>
    </r>
  </si>
  <si>
    <r>
      <rPr>
        <sz val="10"/>
        <rFont val="DejaVu Sans"/>
        <family val="2"/>
      </rPr>
      <t>제네시스환경에너지기업</t>
    </r>
    <r>
      <rPr>
        <sz val="10"/>
        <rFont val="Arial"/>
        <family val="2"/>
      </rPr>
      <t>4</t>
    </r>
    <r>
      <rPr>
        <sz val="10"/>
        <rFont val="DejaVu Sans"/>
        <family val="2"/>
      </rPr>
      <t>호</t>
    </r>
  </si>
  <si>
    <r>
      <rPr>
        <sz val="10"/>
        <rFont val="DejaVu Sans"/>
        <family val="2"/>
      </rPr>
      <t>제네시스환경에너지기업</t>
    </r>
    <r>
      <rPr>
        <sz val="10"/>
        <rFont val="Arial"/>
        <family val="2"/>
      </rPr>
      <t>6</t>
    </r>
    <r>
      <rPr>
        <sz val="10"/>
        <rFont val="DejaVu Sans"/>
        <family val="2"/>
      </rPr>
      <t>호</t>
    </r>
  </si>
  <si>
    <r>
      <rPr>
        <sz val="10"/>
        <rFont val="DejaVu Sans"/>
        <family val="2"/>
      </rPr>
      <t>제네시스환경에너지기업</t>
    </r>
    <r>
      <rPr>
        <sz val="10"/>
        <rFont val="Arial"/>
        <family val="2"/>
      </rPr>
      <t>5</t>
    </r>
    <r>
      <rPr>
        <sz val="10"/>
        <rFont val="DejaVu Sans"/>
        <family val="2"/>
      </rPr>
      <t>호</t>
    </r>
  </si>
  <si>
    <r>
      <rPr>
        <sz val="10"/>
        <rFont val="DejaVu Sans"/>
        <family val="2"/>
      </rPr>
      <t>제네시스환경에너지기업</t>
    </r>
    <r>
      <rPr>
        <sz val="10"/>
        <rFont val="Arial"/>
        <family val="2"/>
      </rPr>
      <t>7</t>
    </r>
    <r>
      <rPr>
        <sz val="10"/>
        <rFont val="DejaVu Sans"/>
        <family val="2"/>
      </rPr>
      <t>호</t>
    </r>
  </si>
  <si>
    <r>
      <rPr>
        <sz val="10"/>
        <rFont val="DejaVu Sans"/>
        <family val="2"/>
      </rPr>
      <t>그린코리아바이아웃</t>
    </r>
    <r>
      <rPr>
        <sz val="10"/>
        <rFont val="Arial"/>
        <family val="2"/>
      </rPr>
      <t>1</t>
    </r>
    <r>
      <rPr>
        <sz val="10"/>
        <rFont val="DejaVu Sans"/>
        <family val="2"/>
      </rPr>
      <t>호</t>
    </r>
  </si>
  <si>
    <r>
      <rPr>
        <sz val="10"/>
        <rFont val="DejaVu Sans"/>
        <family val="2"/>
      </rPr>
      <t>제네시스북미업스트림기업</t>
    </r>
    <r>
      <rPr>
        <sz val="10"/>
        <rFont val="Arial"/>
        <family val="2"/>
      </rPr>
      <t>2</t>
    </r>
    <r>
      <rPr>
        <sz val="10"/>
        <rFont val="DejaVu Sans"/>
        <family val="2"/>
      </rPr>
      <t>호</t>
    </r>
  </si>
  <si>
    <r>
      <rPr>
        <sz val="10"/>
        <rFont val="DejaVu Sans"/>
        <family val="2"/>
      </rPr>
      <t>제네시스환경에너지기업</t>
    </r>
    <r>
      <rPr>
        <sz val="10"/>
        <rFont val="Arial"/>
        <family val="2"/>
      </rPr>
      <t>8</t>
    </r>
    <r>
      <rPr>
        <sz val="10"/>
        <rFont val="DejaVu Sans"/>
        <family val="2"/>
      </rPr>
      <t>호</t>
    </r>
  </si>
  <si>
    <r>
      <rPr>
        <sz val="10"/>
        <rFont val="DejaVu Sans"/>
        <family val="2"/>
      </rPr>
      <t>제네시스북미미드스트림기업</t>
    </r>
    <r>
      <rPr>
        <sz val="10"/>
        <rFont val="Arial"/>
        <family val="2"/>
      </rPr>
      <t>2</t>
    </r>
    <r>
      <rPr>
        <sz val="10"/>
        <rFont val="DejaVu Sans"/>
        <family val="2"/>
      </rPr>
      <t>호</t>
    </r>
  </si>
  <si>
    <r>
      <rPr>
        <sz val="10"/>
        <rFont val="DejaVu Sans"/>
        <family val="2"/>
      </rPr>
      <t>제네시스환경에너지기업</t>
    </r>
    <r>
      <rPr>
        <sz val="10"/>
        <rFont val="Arial"/>
        <family val="2"/>
      </rPr>
      <t>9</t>
    </r>
    <r>
      <rPr>
        <sz val="10"/>
        <rFont val="DejaVu Sans"/>
        <family val="2"/>
      </rPr>
      <t>호</t>
    </r>
  </si>
  <si>
    <t>제이더블유앤닷디톡스</t>
  </si>
  <si>
    <r>
      <rPr>
        <sz val="10"/>
        <rFont val="DejaVu Sans"/>
        <family val="2"/>
      </rPr>
      <t>제이씨어슈어런스제</t>
    </r>
    <r>
      <rPr>
        <sz val="10"/>
        <rFont val="Arial"/>
        <family val="2"/>
      </rPr>
      <t>3</t>
    </r>
    <r>
      <rPr>
        <sz val="10"/>
        <rFont val="DejaVu Sans"/>
        <family val="2"/>
      </rPr>
      <t>호</t>
    </r>
  </si>
  <si>
    <r>
      <rPr>
        <sz val="10"/>
        <rFont val="DejaVu Sans"/>
        <family val="2"/>
      </rPr>
      <t>아시아그로쓰제</t>
    </r>
    <r>
      <rPr>
        <sz val="10"/>
        <rFont val="Arial"/>
        <family val="2"/>
      </rPr>
      <t>1</t>
    </r>
    <r>
      <rPr>
        <sz val="10"/>
        <rFont val="DejaVu Sans"/>
        <family val="2"/>
      </rPr>
      <t>호</t>
    </r>
  </si>
  <si>
    <t>에스비글로벌파트너쉽기업재무안정</t>
  </si>
  <si>
    <r>
      <rPr>
        <sz val="10"/>
        <rFont val="DejaVu Sans"/>
        <family val="2"/>
      </rPr>
      <t>제이스톤환경에너지</t>
    </r>
    <r>
      <rPr>
        <sz val="10"/>
        <rFont val="Arial"/>
        <family val="2"/>
      </rPr>
      <t>1</t>
    </r>
    <r>
      <rPr>
        <sz val="10"/>
        <rFont val="DejaVu Sans"/>
        <family val="2"/>
      </rPr>
      <t>호</t>
    </r>
  </si>
  <si>
    <t>한빛그로쓰</t>
  </si>
  <si>
    <t>아이다코디얼</t>
  </si>
  <si>
    <r>
      <rPr>
        <sz val="10"/>
        <rFont val="DejaVu Sans"/>
        <family val="2"/>
      </rPr>
      <t>제이씨어슈어런스제</t>
    </r>
    <r>
      <rPr>
        <sz val="10"/>
        <rFont val="Arial"/>
        <family val="2"/>
      </rPr>
      <t>2</t>
    </r>
    <r>
      <rPr>
        <sz val="10"/>
        <rFont val="DejaVu Sans"/>
        <family val="2"/>
      </rPr>
      <t>호</t>
    </r>
  </si>
  <si>
    <r>
      <rPr>
        <sz val="10"/>
        <rFont val="DejaVu Sans"/>
        <family val="2"/>
      </rPr>
      <t>뱅크펀드</t>
    </r>
    <r>
      <rPr>
        <sz val="10"/>
        <rFont val="Arial"/>
        <family val="2"/>
      </rPr>
      <t>1</t>
    </r>
    <r>
      <rPr>
        <sz val="10"/>
        <rFont val="DejaVu Sans"/>
        <family val="2"/>
      </rPr>
      <t>호</t>
    </r>
  </si>
  <si>
    <r>
      <rPr>
        <sz val="10"/>
        <rFont val="DejaVu Sans"/>
        <family val="2"/>
      </rPr>
      <t>제이씨머트리얼제</t>
    </r>
    <r>
      <rPr>
        <sz val="10"/>
        <rFont val="Arial"/>
        <family val="2"/>
      </rPr>
      <t>1</t>
    </r>
    <r>
      <rPr>
        <sz val="10"/>
        <rFont val="DejaVu Sans"/>
        <family val="2"/>
      </rPr>
      <t>호</t>
    </r>
  </si>
  <si>
    <r>
      <rPr>
        <sz val="10"/>
        <rFont val="DejaVu Sans"/>
        <family val="2"/>
      </rPr>
      <t>제이씨머트리얼제</t>
    </r>
    <r>
      <rPr>
        <sz val="10"/>
        <rFont val="Arial"/>
        <family val="2"/>
      </rPr>
      <t>2</t>
    </r>
    <r>
      <rPr>
        <sz val="10"/>
        <rFont val="DejaVu Sans"/>
        <family val="2"/>
      </rPr>
      <t>호</t>
    </r>
  </si>
  <si>
    <t>제이씨성장지원</t>
  </si>
  <si>
    <r>
      <rPr>
        <sz val="10"/>
        <rFont val="DejaVu Sans"/>
        <family val="2"/>
      </rPr>
      <t>제이씨에비에이션제</t>
    </r>
    <r>
      <rPr>
        <sz val="10"/>
        <rFont val="Arial"/>
        <family val="2"/>
      </rPr>
      <t>1</t>
    </r>
    <r>
      <rPr>
        <sz val="10"/>
        <rFont val="DejaVu Sans"/>
        <family val="2"/>
      </rPr>
      <t>호</t>
    </r>
  </si>
  <si>
    <r>
      <rPr>
        <sz val="10"/>
        <rFont val="DejaVu Sans"/>
        <family val="2"/>
      </rPr>
      <t>제이씨인슈어런스플랫폼제</t>
    </r>
    <r>
      <rPr>
        <sz val="10"/>
        <rFont val="Arial"/>
        <family val="2"/>
      </rPr>
      <t>1</t>
    </r>
    <r>
      <rPr>
        <sz val="10"/>
        <rFont val="DejaVu Sans"/>
        <family val="2"/>
      </rPr>
      <t>호</t>
    </r>
  </si>
  <si>
    <t>제이앤허큘리스</t>
  </si>
  <si>
    <t>제이앤오리온</t>
  </si>
  <si>
    <r>
      <rPr>
        <sz val="10"/>
        <rFont val="DejaVu Sans"/>
        <family val="2"/>
      </rPr>
      <t>제이앤제</t>
    </r>
    <r>
      <rPr>
        <sz val="10"/>
        <rFont val="Arial"/>
        <family val="2"/>
      </rPr>
      <t>1</t>
    </r>
    <r>
      <rPr>
        <sz val="10"/>
        <rFont val="DejaVu Sans"/>
        <family val="2"/>
      </rPr>
      <t>호</t>
    </r>
  </si>
  <si>
    <t>제이앤티티유갤럭시</t>
  </si>
  <si>
    <t>제이앤솔라</t>
  </si>
  <si>
    <r>
      <rPr>
        <sz val="10"/>
        <rFont val="DejaVu Sans"/>
        <family val="2"/>
      </rPr>
      <t>제이앤제</t>
    </r>
    <r>
      <rPr>
        <sz val="10"/>
        <rFont val="Arial"/>
        <family val="2"/>
      </rPr>
      <t>2</t>
    </r>
    <r>
      <rPr>
        <sz val="10"/>
        <rFont val="DejaVu Sans"/>
        <family val="2"/>
      </rPr>
      <t>호</t>
    </r>
  </si>
  <si>
    <r>
      <rPr>
        <sz val="10"/>
        <rFont val="DejaVu Sans"/>
        <family val="2"/>
      </rPr>
      <t>제이앤제</t>
    </r>
    <r>
      <rPr>
        <sz val="10"/>
        <rFont val="Arial"/>
        <family val="2"/>
      </rPr>
      <t>2</t>
    </r>
    <r>
      <rPr>
        <sz val="10"/>
        <rFont val="DejaVu Sans"/>
        <family val="2"/>
      </rPr>
      <t>호의</t>
    </r>
    <r>
      <rPr>
        <sz val="10"/>
        <rFont val="Arial"/>
        <family val="2"/>
      </rPr>
      <t>1</t>
    </r>
  </si>
  <si>
    <r>
      <rPr>
        <sz val="10"/>
        <rFont val="DejaVu Sans"/>
        <family val="2"/>
      </rPr>
      <t>제이에스제</t>
    </r>
    <r>
      <rPr>
        <sz val="10"/>
        <rFont val="Arial"/>
        <family val="2"/>
      </rPr>
      <t>1</t>
    </r>
    <r>
      <rPr>
        <sz val="10"/>
        <rFont val="DejaVu Sans"/>
        <family val="2"/>
      </rPr>
      <t>호</t>
    </r>
  </si>
  <si>
    <r>
      <rPr>
        <sz val="10"/>
        <rFont val="DejaVu Sans"/>
        <family val="2"/>
      </rPr>
      <t>제이에스제</t>
    </r>
    <r>
      <rPr>
        <sz val="10"/>
        <rFont val="Arial"/>
        <family val="2"/>
      </rPr>
      <t>3</t>
    </r>
    <r>
      <rPr>
        <sz val="10"/>
        <rFont val="DejaVu Sans"/>
        <family val="2"/>
      </rPr>
      <t>호</t>
    </r>
  </si>
  <si>
    <t>제이케이엘이에스지미래모빌리티밸류체인</t>
  </si>
  <si>
    <r>
      <rPr>
        <sz val="10"/>
        <rFont val="DejaVu Sans"/>
        <family val="2"/>
      </rPr>
      <t>제이케이엘제</t>
    </r>
    <r>
      <rPr>
        <sz val="10"/>
        <rFont val="Arial"/>
        <family val="2"/>
      </rPr>
      <t>10</t>
    </r>
    <r>
      <rPr>
        <sz val="10"/>
        <rFont val="DejaVu Sans"/>
        <family val="2"/>
      </rPr>
      <t>호</t>
    </r>
  </si>
  <si>
    <r>
      <rPr>
        <sz val="10"/>
        <rFont val="DejaVu Sans"/>
        <family val="2"/>
      </rPr>
      <t>제이케이엘빅튜라</t>
    </r>
    <r>
      <rPr>
        <sz val="10"/>
        <rFont val="Arial"/>
        <family val="2"/>
      </rPr>
      <t>2019</t>
    </r>
  </si>
  <si>
    <r>
      <rPr>
        <sz val="10"/>
        <rFont val="DejaVu Sans"/>
        <family val="2"/>
      </rPr>
      <t>제이케이엘제</t>
    </r>
    <r>
      <rPr>
        <sz val="10"/>
        <rFont val="Arial"/>
        <family val="2"/>
      </rPr>
      <t>12</t>
    </r>
    <r>
      <rPr>
        <sz val="10"/>
        <rFont val="DejaVu Sans"/>
        <family val="2"/>
      </rPr>
      <t>호</t>
    </r>
  </si>
  <si>
    <t>제이케이엘파트너원</t>
  </si>
  <si>
    <t>라오라오골프앤리조트</t>
  </si>
  <si>
    <r>
      <rPr>
        <sz val="10"/>
        <rFont val="DejaVu Sans"/>
        <family val="2"/>
      </rPr>
      <t>라오라오골프앤리조트제</t>
    </r>
    <r>
      <rPr>
        <sz val="10"/>
        <rFont val="Arial"/>
        <family val="2"/>
      </rPr>
      <t>2</t>
    </r>
    <r>
      <rPr>
        <sz val="10"/>
        <rFont val="DejaVu Sans"/>
        <family val="2"/>
      </rPr>
      <t>호</t>
    </r>
  </si>
  <si>
    <t>스프러스</t>
  </si>
  <si>
    <t>라임트리</t>
  </si>
  <si>
    <t>버치트리</t>
  </si>
  <si>
    <t>퀸스트리</t>
  </si>
  <si>
    <t>팜트리</t>
  </si>
  <si>
    <t>피치트리</t>
  </si>
  <si>
    <t>아이비케이케이아이피성장디딤돌제일호</t>
  </si>
  <si>
    <t>아이비케이티에스엑시트제이호</t>
  </si>
  <si>
    <t>아이비케이키움사업재편</t>
  </si>
  <si>
    <t>지오제일차기업재무안정</t>
  </si>
  <si>
    <t>지오제이차기업재무안정</t>
  </si>
  <si>
    <t>지오케이에프</t>
  </si>
  <si>
    <t>지투지공모주기관전용</t>
  </si>
  <si>
    <r>
      <rPr>
        <sz val="10"/>
        <rFont val="DejaVu Sans"/>
        <family val="2"/>
      </rPr>
      <t>지투지제</t>
    </r>
    <r>
      <rPr>
        <sz val="10"/>
        <rFont val="Arial"/>
        <family val="2"/>
      </rPr>
      <t>2</t>
    </r>
    <r>
      <rPr>
        <sz val="10"/>
        <rFont val="DejaVu Sans"/>
        <family val="2"/>
      </rPr>
      <t>호공모주기관전용</t>
    </r>
  </si>
  <si>
    <r>
      <rPr>
        <sz val="10"/>
        <rFont val="DejaVu Sans"/>
        <family val="2"/>
      </rPr>
      <t>차파트너스퍼블릭모빌리티제</t>
    </r>
    <r>
      <rPr>
        <sz val="10"/>
        <rFont val="Arial"/>
        <family val="2"/>
      </rPr>
      <t>1</t>
    </r>
    <r>
      <rPr>
        <sz val="10"/>
        <rFont val="DejaVu Sans"/>
        <family val="2"/>
      </rPr>
      <t>호</t>
    </r>
  </si>
  <si>
    <r>
      <rPr>
        <sz val="10"/>
        <rFont val="DejaVu Sans"/>
        <family val="2"/>
      </rPr>
      <t>차파트너스퍼블릭모빌리티제</t>
    </r>
    <r>
      <rPr>
        <sz val="10"/>
        <rFont val="Arial"/>
        <family val="2"/>
      </rPr>
      <t>2</t>
    </r>
    <r>
      <rPr>
        <sz val="10"/>
        <rFont val="DejaVu Sans"/>
        <family val="2"/>
      </rPr>
      <t>호</t>
    </r>
  </si>
  <si>
    <r>
      <rPr>
        <sz val="10"/>
        <rFont val="DejaVu Sans"/>
        <family val="2"/>
      </rPr>
      <t>차파트너스퍼블릭모빌리티제</t>
    </r>
    <r>
      <rPr>
        <sz val="10"/>
        <rFont val="Arial"/>
        <family val="2"/>
      </rPr>
      <t>3</t>
    </r>
    <r>
      <rPr>
        <sz val="10"/>
        <rFont val="DejaVu Sans"/>
        <family val="2"/>
      </rPr>
      <t>호</t>
    </r>
  </si>
  <si>
    <t>차파트너스이에스지퍼블릭모빌리티</t>
  </si>
  <si>
    <t>차파트너스인천에이치투모빌리티인프라</t>
  </si>
  <si>
    <t>티제이더블유제일호</t>
  </si>
  <si>
    <t>티제이더블유제이호</t>
  </si>
  <si>
    <t>티제이더블유제삼호</t>
  </si>
  <si>
    <t>티제이더블유제사호</t>
  </si>
  <si>
    <t>카이로스케이엘</t>
  </si>
  <si>
    <r>
      <rPr>
        <sz val="10"/>
        <rFont val="DejaVu Sans"/>
        <family val="2"/>
      </rPr>
      <t>헤임달카펠라제</t>
    </r>
    <r>
      <rPr>
        <sz val="10"/>
        <rFont val="Arial"/>
        <family val="2"/>
      </rPr>
      <t>1</t>
    </r>
    <r>
      <rPr>
        <sz val="10"/>
        <rFont val="DejaVu Sans"/>
        <family val="2"/>
      </rPr>
      <t>호</t>
    </r>
  </si>
  <si>
    <t>칼리스타에너지</t>
  </si>
  <si>
    <r>
      <rPr>
        <sz val="10"/>
        <rFont val="DejaVu Sans"/>
        <family val="2"/>
      </rPr>
      <t>칼리스타에너지제</t>
    </r>
    <r>
      <rPr>
        <sz val="10"/>
        <rFont val="Arial"/>
        <family val="2"/>
      </rPr>
      <t>2</t>
    </r>
    <r>
      <rPr>
        <sz val="10"/>
        <rFont val="DejaVu Sans"/>
        <family val="2"/>
      </rPr>
      <t>호</t>
    </r>
  </si>
  <si>
    <t>칼리스타인프라시너지</t>
  </si>
  <si>
    <t>칼리스타평택에너지</t>
  </si>
  <si>
    <r>
      <rPr>
        <sz val="10"/>
        <rFont val="DejaVu Sans"/>
        <family val="2"/>
      </rPr>
      <t>캐피탈랜드한국투자제</t>
    </r>
    <r>
      <rPr>
        <sz val="10"/>
        <rFont val="Arial"/>
        <family val="2"/>
      </rPr>
      <t>1</t>
    </r>
    <r>
      <rPr>
        <sz val="10"/>
        <rFont val="DejaVu Sans"/>
        <family val="2"/>
      </rPr>
      <t>호</t>
    </r>
  </si>
  <si>
    <r>
      <rPr>
        <sz val="10"/>
        <rFont val="DejaVu Sans"/>
        <family val="2"/>
      </rPr>
      <t>캑터스바이아웃제</t>
    </r>
    <r>
      <rPr>
        <sz val="10"/>
        <rFont val="Arial"/>
        <family val="2"/>
      </rPr>
      <t>2</t>
    </r>
    <r>
      <rPr>
        <sz val="10"/>
        <rFont val="DejaVu Sans"/>
        <family val="2"/>
      </rPr>
      <t>호</t>
    </r>
  </si>
  <si>
    <r>
      <rPr>
        <sz val="10"/>
        <rFont val="DejaVu Sans"/>
        <family val="2"/>
      </rPr>
      <t>캑터스스페셜시츄에이션제</t>
    </r>
    <r>
      <rPr>
        <sz val="10"/>
        <rFont val="Arial"/>
        <family val="2"/>
      </rPr>
      <t>1</t>
    </r>
    <r>
      <rPr>
        <sz val="10"/>
        <rFont val="DejaVu Sans"/>
        <family val="2"/>
      </rPr>
      <t>의</t>
    </r>
    <r>
      <rPr>
        <sz val="10"/>
        <rFont val="Arial"/>
        <family val="2"/>
      </rPr>
      <t>2</t>
    </r>
    <r>
      <rPr>
        <sz val="10"/>
        <rFont val="DejaVu Sans"/>
        <family val="2"/>
      </rPr>
      <t>호</t>
    </r>
  </si>
  <si>
    <r>
      <rPr>
        <sz val="10"/>
        <rFont val="DejaVu Sans"/>
        <family val="2"/>
      </rPr>
      <t>캑터스스페셜시츄에이션제</t>
    </r>
    <r>
      <rPr>
        <sz val="10"/>
        <rFont val="Arial"/>
        <family val="2"/>
      </rPr>
      <t>1</t>
    </r>
    <r>
      <rPr>
        <sz val="10"/>
        <rFont val="DejaVu Sans"/>
        <family val="2"/>
      </rPr>
      <t>호</t>
    </r>
  </si>
  <si>
    <r>
      <rPr>
        <sz val="10"/>
        <rFont val="DejaVu Sans"/>
        <family val="2"/>
      </rPr>
      <t>캑터스바이아웃제</t>
    </r>
    <r>
      <rPr>
        <sz val="10"/>
        <rFont val="Arial"/>
        <family val="2"/>
      </rPr>
      <t>6</t>
    </r>
    <r>
      <rPr>
        <sz val="10"/>
        <rFont val="DejaVu Sans"/>
        <family val="2"/>
      </rPr>
      <t>호</t>
    </r>
  </si>
  <si>
    <r>
      <rPr>
        <sz val="10"/>
        <rFont val="DejaVu Sans"/>
        <family val="2"/>
      </rPr>
      <t>캑터스바이아웃제</t>
    </r>
    <r>
      <rPr>
        <sz val="10"/>
        <rFont val="Arial"/>
        <family val="2"/>
      </rPr>
      <t>7</t>
    </r>
    <r>
      <rPr>
        <sz val="10"/>
        <rFont val="DejaVu Sans"/>
        <family val="2"/>
      </rPr>
      <t>호</t>
    </r>
  </si>
  <si>
    <r>
      <rPr>
        <sz val="10"/>
        <rFont val="DejaVu Sans"/>
        <family val="2"/>
      </rPr>
      <t>케이씨중소중견밸류업제</t>
    </r>
    <r>
      <rPr>
        <sz val="10"/>
        <rFont val="Arial"/>
        <family val="2"/>
      </rPr>
      <t>1</t>
    </r>
    <r>
      <rPr>
        <sz val="10"/>
        <rFont val="DejaVu Sans"/>
        <family val="2"/>
      </rPr>
      <t>호</t>
    </r>
  </si>
  <si>
    <r>
      <rPr>
        <sz val="10"/>
        <rFont val="DejaVu Sans"/>
        <family val="2"/>
      </rPr>
      <t>캑터스스페셜시츄에이션제</t>
    </r>
    <r>
      <rPr>
        <sz val="10"/>
        <rFont val="Arial"/>
        <family val="2"/>
      </rPr>
      <t>3</t>
    </r>
    <r>
      <rPr>
        <sz val="10"/>
        <rFont val="DejaVu Sans"/>
        <family val="2"/>
      </rPr>
      <t>호</t>
    </r>
  </si>
  <si>
    <r>
      <rPr>
        <sz val="10"/>
        <rFont val="DejaVu Sans"/>
        <family val="2"/>
      </rPr>
      <t>캑터스컴퍼니제</t>
    </r>
    <r>
      <rPr>
        <sz val="10"/>
        <rFont val="Arial"/>
        <family val="2"/>
      </rPr>
      <t>1</t>
    </r>
    <r>
      <rPr>
        <sz val="10"/>
        <rFont val="DejaVu Sans"/>
        <family val="2"/>
      </rPr>
      <t>호</t>
    </r>
  </si>
  <si>
    <r>
      <rPr>
        <sz val="10"/>
        <rFont val="DejaVu Sans"/>
        <family val="2"/>
      </rPr>
      <t>컴퍼니케이플로우제</t>
    </r>
    <r>
      <rPr>
        <sz val="10"/>
        <rFont val="Arial"/>
        <family val="2"/>
      </rPr>
      <t>1</t>
    </r>
    <r>
      <rPr>
        <sz val="10"/>
        <rFont val="DejaVu Sans"/>
        <family val="2"/>
      </rPr>
      <t>호</t>
    </r>
  </si>
  <si>
    <t>케이디비인베스트먼트제이호</t>
  </si>
  <si>
    <t>케이디비인베스트먼트글로벌헬스케어제일호</t>
  </si>
  <si>
    <t>케이디비아이하나사업재편밸류업</t>
  </si>
  <si>
    <r>
      <rPr>
        <sz val="10"/>
        <rFont val="DejaVu Sans"/>
        <family val="2"/>
      </rPr>
      <t>화인케이비기업재무안정제</t>
    </r>
    <r>
      <rPr>
        <sz val="10"/>
        <rFont val="Arial"/>
        <family val="2"/>
      </rPr>
      <t>1</t>
    </r>
    <r>
      <rPr>
        <sz val="10"/>
        <rFont val="DejaVu Sans"/>
        <family val="2"/>
      </rPr>
      <t>호</t>
    </r>
  </si>
  <si>
    <r>
      <rPr>
        <sz val="10"/>
        <rFont val="DejaVu Sans"/>
        <family val="2"/>
      </rPr>
      <t>케이비바이오글로벌익스팬션</t>
    </r>
    <r>
      <rPr>
        <sz val="10"/>
        <rFont val="Arial"/>
        <family val="2"/>
      </rPr>
      <t>1</t>
    </r>
    <r>
      <rPr>
        <sz val="10"/>
        <rFont val="DejaVu Sans"/>
        <family val="2"/>
      </rPr>
      <t>호</t>
    </r>
  </si>
  <si>
    <r>
      <rPr>
        <sz val="10"/>
        <rFont val="DejaVu Sans"/>
        <family val="2"/>
      </rPr>
      <t>파라마크케이비제</t>
    </r>
    <r>
      <rPr>
        <sz val="10"/>
        <rFont val="Arial"/>
        <family val="2"/>
      </rPr>
      <t>1</t>
    </r>
    <r>
      <rPr>
        <sz val="10"/>
        <rFont val="DejaVu Sans"/>
        <family val="2"/>
      </rPr>
      <t>호</t>
    </r>
  </si>
  <si>
    <r>
      <rPr>
        <sz val="10"/>
        <rFont val="DejaVu Sans"/>
        <family val="2"/>
      </rPr>
      <t>화인케이비기업재무안정제</t>
    </r>
    <r>
      <rPr>
        <sz val="10"/>
        <rFont val="Arial"/>
        <family val="2"/>
      </rPr>
      <t>2</t>
    </r>
    <r>
      <rPr>
        <sz val="10"/>
        <rFont val="DejaVu Sans"/>
        <family val="2"/>
      </rPr>
      <t>호</t>
    </r>
  </si>
  <si>
    <r>
      <rPr>
        <sz val="10"/>
        <rFont val="DejaVu Sans"/>
        <family val="2"/>
      </rPr>
      <t>케이비코인베스트먼트제</t>
    </r>
    <r>
      <rPr>
        <sz val="10"/>
        <rFont val="Arial"/>
        <family val="2"/>
      </rPr>
      <t>1</t>
    </r>
    <r>
      <rPr>
        <sz val="10"/>
        <rFont val="DejaVu Sans"/>
        <family val="2"/>
      </rPr>
      <t>호</t>
    </r>
  </si>
  <si>
    <r>
      <rPr>
        <sz val="10"/>
        <rFont val="DejaVu Sans"/>
        <family val="2"/>
      </rPr>
      <t>케이비메자닌캐피탈제</t>
    </r>
    <r>
      <rPr>
        <sz val="10"/>
        <rFont val="Arial"/>
        <family val="2"/>
      </rPr>
      <t>4</t>
    </r>
    <r>
      <rPr>
        <sz val="10"/>
        <rFont val="DejaVu Sans"/>
        <family val="2"/>
      </rPr>
      <t>호</t>
    </r>
  </si>
  <si>
    <t>케이비티에스중소벤처기술금융</t>
  </si>
  <si>
    <r>
      <rPr>
        <sz val="10"/>
        <rFont val="DejaVu Sans"/>
        <family val="2"/>
      </rPr>
      <t>케이비스프랏신재생제</t>
    </r>
    <r>
      <rPr>
        <sz val="10"/>
        <rFont val="Arial"/>
        <family val="2"/>
      </rPr>
      <t>1</t>
    </r>
    <r>
      <rPr>
        <sz val="10"/>
        <rFont val="DejaVu Sans"/>
        <family val="2"/>
      </rPr>
      <t>호</t>
    </r>
  </si>
  <si>
    <t>케이비나우스페셜시츄에이션기업재무안정</t>
  </si>
  <si>
    <r>
      <rPr>
        <sz val="10"/>
        <rFont val="DejaVu Sans"/>
        <family val="2"/>
      </rPr>
      <t>케이스톤밸류인베스트먼트</t>
    </r>
    <r>
      <rPr>
        <sz val="10"/>
        <rFont val="Arial"/>
        <family val="2"/>
      </rPr>
      <t>2</t>
    </r>
    <r>
      <rPr>
        <sz val="10"/>
        <rFont val="DejaVu Sans"/>
        <family val="2"/>
      </rPr>
      <t>호</t>
    </r>
  </si>
  <si>
    <r>
      <rPr>
        <sz val="10"/>
        <rFont val="DejaVu Sans"/>
        <family val="2"/>
      </rPr>
      <t>케이스톤골든밸류</t>
    </r>
    <r>
      <rPr>
        <sz val="10"/>
        <rFont val="Arial"/>
        <family val="2"/>
      </rPr>
      <t>3</t>
    </r>
    <r>
      <rPr>
        <sz val="10"/>
        <rFont val="DejaVu Sans"/>
        <family val="2"/>
      </rPr>
      <t>호</t>
    </r>
  </si>
  <si>
    <t>케이스톤유니콘</t>
  </si>
  <si>
    <r>
      <rPr>
        <sz val="10"/>
        <rFont val="DejaVu Sans"/>
        <family val="2"/>
      </rPr>
      <t>케이스톤골든밸류</t>
    </r>
    <r>
      <rPr>
        <sz val="10"/>
        <rFont val="Arial"/>
        <family val="2"/>
      </rPr>
      <t>4</t>
    </r>
    <r>
      <rPr>
        <sz val="10"/>
        <rFont val="DejaVu Sans"/>
        <family val="2"/>
      </rPr>
      <t>호</t>
    </r>
  </si>
  <si>
    <t>케이스톤유니콘이호</t>
  </si>
  <si>
    <r>
      <rPr>
        <sz val="10"/>
        <rFont val="DejaVu Sans"/>
        <family val="2"/>
      </rPr>
      <t>케이스톤골든밸류</t>
    </r>
    <r>
      <rPr>
        <sz val="10"/>
        <rFont val="Arial"/>
        <family val="2"/>
      </rPr>
      <t>5</t>
    </r>
    <r>
      <rPr>
        <sz val="10"/>
        <rFont val="DejaVu Sans"/>
        <family val="2"/>
      </rPr>
      <t>호</t>
    </r>
  </si>
  <si>
    <t>케이씨에이포프론트</t>
  </si>
  <si>
    <r>
      <rPr>
        <sz val="10"/>
        <rFont val="DejaVu Sans"/>
        <family val="2"/>
      </rPr>
      <t>케이씨에이이에스지</t>
    </r>
    <r>
      <rPr>
        <sz val="10"/>
        <rFont val="Arial"/>
        <family val="2"/>
      </rPr>
      <t>1</t>
    </r>
    <r>
      <rPr>
        <sz val="10"/>
        <rFont val="DejaVu Sans"/>
        <family val="2"/>
      </rPr>
      <t>호</t>
    </r>
  </si>
  <si>
    <t>케이씨지아이엘아이지신성장이에스지</t>
  </si>
  <si>
    <t>케이씨지아이엘아이지이에스지</t>
  </si>
  <si>
    <t>케이씨지아이미래에셋글로벌에너지이에스지</t>
  </si>
  <si>
    <r>
      <rPr>
        <sz val="10"/>
        <rFont val="DejaVu Sans"/>
        <family val="2"/>
      </rPr>
      <t>케이씨지아이제</t>
    </r>
    <r>
      <rPr>
        <sz val="10"/>
        <rFont val="Arial"/>
        <family val="2"/>
      </rPr>
      <t>2</t>
    </r>
    <r>
      <rPr>
        <sz val="10"/>
        <rFont val="DejaVu Sans"/>
        <family val="2"/>
      </rPr>
      <t>호</t>
    </r>
  </si>
  <si>
    <t>에이비</t>
  </si>
  <si>
    <t>코레이트케이엔케이에코인프라</t>
  </si>
  <si>
    <t>케이엘해마로</t>
  </si>
  <si>
    <t>케이엘노르마창업벤처전문</t>
  </si>
  <si>
    <r>
      <rPr>
        <sz val="10"/>
        <rFont val="DejaVu Sans"/>
        <family val="2"/>
      </rPr>
      <t>케이디비케이엘중소중견밸류업제</t>
    </r>
    <r>
      <rPr>
        <sz val="10"/>
        <rFont val="Arial"/>
        <family val="2"/>
      </rPr>
      <t>2</t>
    </r>
    <r>
      <rPr>
        <sz val="10"/>
        <rFont val="DejaVu Sans"/>
        <family val="2"/>
      </rPr>
      <t>호</t>
    </r>
  </si>
  <si>
    <t>브레인디엔엠미래산업</t>
  </si>
  <si>
    <t>브레인에코</t>
  </si>
  <si>
    <r>
      <rPr>
        <sz val="10"/>
        <rFont val="DejaVu Sans"/>
        <family val="2"/>
      </rPr>
      <t>케이와이글로벌셀앤진제</t>
    </r>
    <r>
      <rPr>
        <sz val="10"/>
        <rFont val="Arial"/>
        <family val="2"/>
      </rPr>
      <t>1</t>
    </r>
    <r>
      <rPr>
        <sz val="10"/>
        <rFont val="DejaVu Sans"/>
        <family val="2"/>
      </rPr>
      <t>호</t>
    </r>
  </si>
  <si>
    <r>
      <rPr>
        <sz val="10"/>
        <rFont val="DejaVu Sans"/>
        <family val="2"/>
      </rPr>
      <t>케이와이글로벌셀앤진제</t>
    </r>
    <r>
      <rPr>
        <sz val="10"/>
        <rFont val="Arial"/>
        <family val="2"/>
      </rPr>
      <t>2</t>
    </r>
    <r>
      <rPr>
        <sz val="10"/>
        <rFont val="DejaVu Sans"/>
        <family val="2"/>
      </rPr>
      <t>호</t>
    </r>
  </si>
  <si>
    <r>
      <rPr>
        <sz val="10"/>
        <rFont val="DejaVu Sans"/>
        <family val="2"/>
      </rPr>
      <t>케이클라비스제</t>
    </r>
    <r>
      <rPr>
        <sz val="10"/>
        <rFont val="Arial"/>
        <family val="2"/>
      </rPr>
      <t>1</t>
    </r>
    <r>
      <rPr>
        <sz val="10"/>
        <rFont val="DejaVu Sans"/>
        <family val="2"/>
      </rPr>
      <t>호</t>
    </r>
  </si>
  <si>
    <t>알프스</t>
  </si>
  <si>
    <t>한국투자케이프크레딧</t>
  </si>
  <si>
    <r>
      <rPr>
        <sz val="10"/>
        <rFont val="DejaVu Sans"/>
        <family val="2"/>
      </rPr>
      <t>코리아와이드파트너스제</t>
    </r>
    <r>
      <rPr>
        <sz val="10"/>
        <rFont val="Arial"/>
        <family val="2"/>
      </rPr>
      <t>1</t>
    </r>
    <r>
      <rPr>
        <sz val="10"/>
        <rFont val="DejaVu Sans"/>
        <family val="2"/>
      </rPr>
      <t>호</t>
    </r>
  </si>
  <si>
    <r>
      <rPr>
        <sz val="10"/>
        <rFont val="DejaVu Sans"/>
        <family val="2"/>
      </rPr>
      <t>코리아와이드파트너스제</t>
    </r>
    <r>
      <rPr>
        <sz val="10"/>
        <rFont val="Arial"/>
        <family val="2"/>
      </rPr>
      <t>2</t>
    </r>
    <r>
      <rPr>
        <sz val="10"/>
        <rFont val="DejaVu Sans"/>
        <family val="2"/>
      </rPr>
      <t>호</t>
    </r>
  </si>
  <si>
    <t>코스톤성장전략엠앤에이</t>
  </si>
  <si>
    <r>
      <rPr>
        <sz val="10"/>
        <rFont val="DejaVu Sans"/>
        <family val="2"/>
      </rPr>
      <t>코스톤굿잡성장전략엠앤에이</t>
    </r>
    <r>
      <rPr>
        <sz val="10"/>
        <rFont val="Arial"/>
        <family val="2"/>
      </rPr>
      <t>2</t>
    </r>
    <r>
      <rPr>
        <sz val="10"/>
        <rFont val="DejaVu Sans"/>
        <family val="2"/>
      </rPr>
      <t>호</t>
    </r>
  </si>
  <si>
    <r>
      <rPr>
        <sz val="10"/>
        <rFont val="DejaVu Sans"/>
        <family val="2"/>
      </rPr>
      <t>코스톤성장전략</t>
    </r>
    <r>
      <rPr>
        <sz val="10"/>
        <rFont val="Arial"/>
        <family val="2"/>
      </rPr>
      <t>3</t>
    </r>
    <r>
      <rPr>
        <sz val="10"/>
        <rFont val="DejaVu Sans"/>
        <family val="2"/>
      </rPr>
      <t>호</t>
    </r>
  </si>
  <si>
    <r>
      <rPr>
        <sz val="10"/>
        <rFont val="DejaVu Sans"/>
        <family val="2"/>
      </rPr>
      <t>쿨리지브라만제</t>
    </r>
    <r>
      <rPr>
        <sz val="10"/>
        <rFont val="Arial"/>
        <family val="2"/>
      </rPr>
      <t>1</t>
    </r>
    <r>
      <rPr>
        <sz val="10"/>
        <rFont val="DejaVu Sans"/>
        <family val="2"/>
      </rPr>
      <t>호창업벤처전문</t>
    </r>
  </si>
  <si>
    <r>
      <rPr>
        <sz val="10"/>
        <rFont val="DejaVu Sans"/>
        <family val="2"/>
      </rPr>
      <t>딥블루제</t>
    </r>
    <r>
      <rPr>
        <sz val="10"/>
        <rFont val="Arial"/>
        <family val="2"/>
      </rPr>
      <t>1</t>
    </r>
    <r>
      <rPr>
        <sz val="10"/>
        <rFont val="DejaVu Sans"/>
        <family val="2"/>
      </rPr>
      <t>호</t>
    </r>
  </si>
  <si>
    <r>
      <rPr>
        <sz val="10"/>
        <rFont val="DejaVu Sans"/>
        <family val="2"/>
      </rPr>
      <t>딥블루제</t>
    </r>
    <r>
      <rPr>
        <sz val="10"/>
        <rFont val="Arial"/>
        <family val="2"/>
      </rPr>
      <t>2</t>
    </r>
    <r>
      <rPr>
        <sz val="10"/>
        <rFont val="DejaVu Sans"/>
        <family val="2"/>
      </rPr>
      <t>호</t>
    </r>
  </si>
  <si>
    <r>
      <rPr>
        <sz val="10"/>
        <rFont val="DejaVu Sans"/>
        <family val="2"/>
      </rPr>
      <t>딥블루제</t>
    </r>
    <r>
      <rPr>
        <sz val="10"/>
        <rFont val="Arial"/>
        <family val="2"/>
      </rPr>
      <t>3</t>
    </r>
    <r>
      <rPr>
        <sz val="10"/>
        <rFont val="DejaVu Sans"/>
        <family val="2"/>
      </rPr>
      <t>호</t>
    </r>
  </si>
  <si>
    <r>
      <rPr>
        <sz val="10"/>
        <rFont val="DejaVu Sans"/>
        <family val="2"/>
      </rPr>
      <t>제이와이제</t>
    </r>
    <r>
      <rPr>
        <sz val="10"/>
        <rFont val="Arial"/>
        <family val="2"/>
      </rPr>
      <t>1</t>
    </r>
    <r>
      <rPr>
        <sz val="10"/>
        <rFont val="DejaVu Sans"/>
        <family val="2"/>
      </rPr>
      <t>호미래기술혁신</t>
    </r>
  </si>
  <si>
    <t>하이즈뉴미디어</t>
  </si>
  <si>
    <t>퀸테사제칠호</t>
  </si>
  <si>
    <t>큐리어스리커버리제일호구조혁신기업재무안정기관전용</t>
  </si>
  <si>
    <t>큐리어스크레테기업재무안정기관전용</t>
  </si>
  <si>
    <t>큐리어스볼티지제삼차기관전용</t>
  </si>
  <si>
    <r>
      <rPr>
        <sz val="10"/>
        <rFont val="Arial"/>
        <family val="2"/>
      </rPr>
      <t>2018</t>
    </r>
    <r>
      <rPr>
        <sz val="10"/>
        <rFont val="DejaVu Sans"/>
        <family val="2"/>
      </rPr>
      <t>큐씨피</t>
    </r>
    <r>
      <rPr>
        <sz val="10"/>
        <rFont val="Arial"/>
        <family val="2"/>
      </rPr>
      <t>13</t>
    </r>
    <r>
      <rPr>
        <sz val="10"/>
        <rFont val="DejaVu Sans"/>
        <family val="2"/>
      </rPr>
      <t>호</t>
    </r>
  </si>
  <si>
    <r>
      <rPr>
        <sz val="10"/>
        <rFont val="Arial"/>
        <family val="2"/>
      </rPr>
      <t>2021</t>
    </r>
    <r>
      <rPr>
        <sz val="10"/>
        <rFont val="DejaVu Sans"/>
        <family val="2"/>
      </rPr>
      <t>큐씨피제</t>
    </r>
    <r>
      <rPr>
        <sz val="10"/>
        <rFont val="Arial"/>
        <family val="2"/>
      </rPr>
      <t>15</t>
    </r>
    <r>
      <rPr>
        <sz val="10"/>
        <rFont val="DejaVu Sans"/>
        <family val="2"/>
      </rPr>
      <t>호</t>
    </r>
  </si>
  <si>
    <r>
      <rPr>
        <sz val="10"/>
        <rFont val="DejaVu Sans"/>
        <family val="2"/>
      </rPr>
      <t>크레디언이에스지제</t>
    </r>
    <r>
      <rPr>
        <sz val="10"/>
        <rFont val="Arial"/>
        <family val="2"/>
      </rPr>
      <t>1</t>
    </r>
    <r>
      <rPr>
        <sz val="10"/>
        <rFont val="DejaVu Sans"/>
        <family val="2"/>
      </rPr>
      <t>호</t>
    </r>
  </si>
  <si>
    <r>
      <rPr>
        <sz val="10"/>
        <rFont val="DejaVu Sans"/>
        <family val="2"/>
      </rPr>
      <t>크레디언알파제</t>
    </r>
    <r>
      <rPr>
        <sz val="10"/>
        <rFont val="Arial"/>
        <family val="2"/>
      </rPr>
      <t>1</t>
    </r>
    <r>
      <rPr>
        <sz val="10"/>
        <rFont val="DejaVu Sans"/>
        <family val="2"/>
      </rPr>
      <t>호</t>
    </r>
  </si>
  <si>
    <r>
      <rPr>
        <sz val="10"/>
        <rFont val="DejaVu Sans"/>
        <family val="2"/>
      </rPr>
      <t>크레비스임팩트제</t>
    </r>
    <r>
      <rPr>
        <sz val="10"/>
        <rFont val="Arial"/>
        <family val="2"/>
      </rPr>
      <t>1</t>
    </r>
    <r>
      <rPr>
        <sz val="10"/>
        <rFont val="DejaVu Sans"/>
        <family val="2"/>
      </rPr>
      <t>호창업벤처전문</t>
    </r>
  </si>
  <si>
    <r>
      <rPr>
        <sz val="10"/>
        <rFont val="DejaVu Sans"/>
        <family val="2"/>
      </rPr>
      <t>크레비스임팩트파운더제</t>
    </r>
    <r>
      <rPr>
        <sz val="10"/>
        <rFont val="Arial"/>
        <family val="2"/>
      </rPr>
      <t>1</t>
    </r>
    <r>
      <rPr>
        <sz val="10"/>
        <rFont val="DejaVu Sans"/>
        <family val="2"/>
      </rPr>
      <t>호</t>
    </r>
  </si>
  <si>
    <r>
      <rPr>
        <sz val="10"/>
        <rFont val="DejaVu Sans"/>
        <family val="2"/>
      </rPr>
      <t>크레비스임팩트인게이지먼트제</t>
    </r>
    <r>
      <rPr>
        <sz val="10"/>
        <rFont val="Arial"/>
        <family val="2"/>
      </rPr>
      <t>1</t>
    </r>
    <r>
      <rPr>
        <sz val="10"/>
        <rFont val="DejaVu Sans"/>
        <family val="2"/>
      </rPr>
      <t>호</t>
    </r>
  </si>
  <si>
    <r>
      <rPr>
        <sz val="10"/>
        <rFont val="DejaVu Sans"/>
        <family val="2"/>
      </rPr>
      <t>크레센도제</t>
    </r>
    <r>
      <rPr>
        <sz val="10"/>
        <rFont val="Arial"/>
        <family val="2"/>
      </rPr>
      <t>2</t>
    </r>
    <r>
      <rPr>
        <sz val="10"/>
        <rFont val="DejaVu Sans"/>
        <family val="2"/>
      </rPr>
      <t>의에이호</t>
    </r>
  </si>
  <si>
    <r>
      <rPr>
        <sz val="10"/>
        <rFont val="DejaVu Sans"/>
        <family val="2"/>
      </rPr>
      <t>프레스토제</t>
    </r>
    <r>
      <rPr>
        <sz val="10"/>
        <rFont val="Arial"/>
        <family val="2"/>
      </rPr>
      <t>6</t>
    </r>
    <r>
      <rPr>
        <sz val="10"/>
        <rFont val="DejaVu Sans"/>
        <family val="2"/>
      </rPr>
      <t>호</t>
    </r>
  </si>
  <si>
    <r>
      <rPr>
        <sz val="10"/>
        <rFont val="DejaVu Sans"/>
        <family val="2"/>
      </rPr>
      <t>크레센도</t>
    </r>
    <r>
      <rPr>
        <sz val="10"/>
        <rFont val="Arial"/>
        <family val="2"/>
      </rPr>
      <t>2018</t>
    </r>
  </si>
  <si>
    <r>
      <rPr>
        <sz val="10"/>
        <rFont val="DejaVu Sans"/>
        <family val="2"/>
      </rPr>
      <t>크레센도</t>
    </r>
    <r>
      <rPr>
        <sz val="10"/>
        <rFont val="Arial"/>
        <family val="2"/>
      </rPr>
      <t>2021</t>
    </r>
  </si>
  <si>
    <r>
      <rPr>
        <sz val="10"/>
        <rFont val="DejaVu Sans"/>
        <family val="2"/>
      </rPr>
      <t>크레센도제</t>
    </r>
    <r>
      <rPr>
        <sz val="10"/>
        <rFont val="Arial"/>
        <family val="2"/>
      </rPr>
      <t>3</t>
    </r>
    <r>
      <rPr>
        <sz val="10"/>
        <rFont val="DejaVu Sans"/>
        <family val="2"/>
      </rPr>
      <t>의디호</t>
    </r>
  </si>
  <si>
    <r>
      <rPr>
        <sz val="10"/>
        <rFont val="DejaVu Sans"/>
        <family val="2"/>
      </rPr>
      <t>크레센도제</t>
    </r>
    <r>
      <rPr>
        <sz val="10"/>
        <rFont val="Arial"/>
        <family val="2"/>
      </rPr>
      <t>3</t>
    </r>
    <r>
      <rPr>
        <sz val="10"/>
        <rFont val="DejaVu Sans"/>
        <family val="2"/>
      </rPr>
      <t>의씨호</t>
    </r>
  </si>
  <si>
    <r>
      <rPr>
        <sz val="10"/>
        <rFont val="DejaVu Sans"/>
        <family val="2"/>
      </rPr>
      <t>크레센도제</t>
    </r>
    <r>
      <rPr>
        <sz val="10"/>
        <rFont val="Arial"/>
        <family val="2"/>
      </rPr>
      <t>3</t>
    </r>
    <r>
      <rPr>
        <sz val="10"/>
        <rFont val="DejaVu Sans"/>
        <family val="2"/>
      </rPr>
      <t>의에이호</t>
    </r>
  </si>
  <si>
    <r>
      <rPr>
        <sz val="10"/>
        <rFont val="DejaVu Sans"/>
        <family val="2"/>
      </rPr>
      <t>프레스토제</t>
    </r>
    <r>
      <rPr>
        <sz val="10"/>
        <rFont val="Arial"/>
        <family val="2"/>
      </rPr>
      <t>10</t>
    </r>
    <r>
      <rPr>
        <sz val="10"/>
        <rFont val="DejaVu Sans"/>
        <family val="2"/>
      </rPr>
      <t>호</t>
    </r>
  </si>
  <si>
    <r>
      <rPr>
        <sz val="10"/>
        <rFont val="DejaVu Sans"/>
        <family val="2"/>
      </rPr>
      <t>모아이</t>
    </r>
    <r>
      <rPr>
        <sz val="10"/>
        <rFont val="Arial"/>
        <family val="2"/>
      </rPr>
      <t>2</t>
    </r>
    <r>
      <rPr>
        <sz val="10"/>
        <rFont val="DejaVu Sans"/>
        <family val="2"/>
      </rPr>
      <t>호창업벤처전문</t>
    </r>
  </si>
  <si>
    <r>
      <rPr>
        <sz val="10"/>
        <rFont val="DejaVu Sans"/>
        <family val="2"/>
      </rPr>
      <t>모아이</t>
    </r>
    <r>
      <rPr>
        <sz val="10"/>
        <rFont val="Arial"/>
        <family val="2"/>
      </rPr>
      <t>3</t>
    </r>
    <r>
      <rPr>
        <sz val="10"/>
        <rFont val="DejaVu Sans"/>
        <family val="2"/>
      </rPr>
      <t>호창업벤처전문</t>
    </r>
  </si>
  <si>
    <t>모아이창업벤처전문</t>
  </si>
  <si>
    <t>크로스로드두나무창업벤처전문</t>
  </si>
  <si>
    <r>
      <rPr>
        <sz val="10"/>
        <rFont val="DejaVu Sans"/>
        <family val="2"/>
      </rPr>
      <t>모아이</t>
    </r>
    <r>
      <rPr>
        <sz val="10"/>
        <rFont val="Arial"/>
        <family val="2"/>
      </rPr>
      <t>5</t>
    </r>
    <r>
      <rPr>
        <sz val="10"/>
        <rFont val="DejaVu Sans"/>
        <family val="2"/>
      </rPr>
      <t>호</t>
    </r>
  </si>
  <si>
    <r>
      <rPr>
        <sz val="10"/>
        <rFont val="DejaVu Sans"/>
        <family val="2"/>
      </rPr>
      <t>크로스로드</t>
    </r>
    <r>
      <rPr>
        <sz val="10"/>
        <rFont val="Arial"/>
        <family val="2"/>
      </rPr>
      <t>6</t>
    </r>
    <r>
      <rPr>
        <sz val="10"/>
        <rFont val="DejaVu Sans"/>
        <family val="2"/>
      </rPr>
      <t>호</t>
    </r>
  </si>
  <si>
    <t>클레어인베스트먼트제이호</t>
  </si>
  <si>
    <t>클레어제삼호</t>
  </si>
  <si>
    <r>
      <rPr>
        <sz val="10"/>
        <rFont val="DejaVu Sans"/>
        <family val="2"/>
      </rPr>
      <t>키스톤앤젤스제</t>
    </r>
    <r>
      <rPr>
        <sz val="10"/>
        <rFont val="Arial"/>
        <family val="2"/>
      </rPr>
      <t>2</t>
    </r>
    <r>
      <rPr>
        <sz val="10"/>
        <rFont val="DejaVu Sans"/>
        <family val="2"/>
      </rPr>
      <t>호</t>
    </r>
  </si>
  <si>
    <t>키스톤중소중견신성장</t>
  </si>
  <si>
    <t>키움시리우스</t>
  </si>
  <si>
    <t>키움크리스제일호</t>
  </si>
  <si>
    <t>키움푸드테크</t>
  </si>
  <si>
    <t>글로벌커넥트플랫폼</t>
  </si>
  <si>
    <t>케이디비키움테크그로스</t>
  </si>
  <si>
    <t>키움크리스제삼호</t>
  </si>
  <si>
    <t>한국투자키움바이아웃제일호</t>
  </si>
  <si>
    <r>
      <rPr>
        <sz val="10"/>
        <rFont val="DejaVu Sans"/>
        <family val="2"/>
      </rPr>
      <t>이에스매버릭</t>
    </r>
    <r>
      <rPr>
        <sz val="10"/>
        <rFont val="Arial"/>
        <family val="2"/>
      </rPr>
      <t>1</t>
    </r>
    <r>
      <rPr>
        <sz val="10"/>
        <rFont val="DejaVu Sans"/>
        <family val="2"/>
      </rPr>
      <t>호기업재무안정</t>
    </r>
  </si>
  <si>
    <r>
      <rPr>
        <sz val="10"/>
        <rFont val="DejaVu Sans"/>
        <family val="2"/>
      </rPr>
      <t>토르제</t>
    </r>
    <r>
      <rPr>
        <sz val="10"/>
        <rFont val="Arial"/>
        <family val="2"/>
      </rPr>
      <t>1</t>
    </r>
    <r>
      <rPr>
        <sz val="10"/>
        <rFont val="DejaVu Sans"/>
        <family val="2"/>
      </rPr>
      <t>호</t>
    </r>
  </si>
  <si>
    <r>
      <rPr>
        <sz val="10"/>
        <rFont val="DejaVu Sans"/>
        <family val="2"/>
      </rPr>
      <t>더그린업사이클제</t>
    </r>
    <r>
      <rPr>
        <sz val="10"/>
        <rFont val="Arial"/>
        <family val="2"/>
      </rPr>
      <t>1</t>
    </r>
    <r>
      <rPr>
        <sz val="10"/>
        <rFont val="DejaVu Sans"/>
        <family val="2"/>
      </rPr>
      <t>호</t>
    </r>
  </si>
  <si>
    <r>
      <rPr>
        <sz val="10"/>
        <rFont val="DejaVu Sans"/>
        <family val="2"/>
      </rPr>
      <t>제</t>
    </r>
    <r>
      <rPr>
        <sz val="10"/>
        <rFont val="Arial"/>
        <family val="2"/>
      </rPr>
      <t>1</t>
    </r>
    <r>
      <rPr>
        <sz val="10"/>
        <rFont val="DejaVu Sans"/>
        <family val="2"/>
      </rPr>
      <t>호티더블유에이아이피오</t>
    </r>
  </si>
  <si>
    <r>
      <rPr>
        <sz val="10"/>
        <rFont val="DejaVu Sans"/>
        <family val="2"/>
      </rPr>
      <t>제</t>
    </r>
    <r>
      <rPr>
        <sz val="10"/>
        <rFont val="Arial"/>
        <family val="2"/>
      </rPr>
      <t>2</t>
    </r>
    <r>
      <rPr>
        <sz val="10"/>
        <rFont val="DejaVu Sans"/>
        <family val="2"/>
      </rPr>
      <t>호티더블유에이아이피오</t>
    </r>
  </si>
  <si>
    <r>
      <rPr>
        <sz val="10"/>
        <rFont val="DejaVu Sans"/>
        <family val="2"/>
      </rPr>
      <t>티유피</t>
    </r>
    <r>
      <rPr>
        <sz val="10"/>
        <rFont val="Arial"/>
        <family val="2"/>
      </rPr>
      <t>1</t>
    </r>
    <r>
      <rPr>
        <sz val="10"/>
        <rFont val="DejaVu Sans"/>
        <family val="2"/>
      </rPr>
      <t>호</t>
    </r>
  </si>
  <si>
    <t>티앤케이컴패니언</t>
  </si>
  <si>
    <t>티앤케이메가</t>
  </si>
  <si>
    <r>
      <rPr>
        <sz val="10"/>
        <rFont val="DejaVu Sans"/>
        <family val="2"/>
      </rPr>
      <t>오디세이제</t>
    </r>
    <r>
      <rPr>
        <sz val="10"/>
        <rFont val="Arial"/>
        <family val="2"/>
      </rPr>
      <t>1</t>
    </r>
    <r>
      <rPr>
        <sz val="10"/>
        <rFont val="DejaVu Sans"/>
        <family val="2"/>
      </rPr>
      <t>호</t>
    </r>
  </si>
  <si>
    <r>
      <rPr>
        <sz val="10"/>
        <rFont val="DejaVu Sans"/>
        <family val="2"/>
      </rPr>
      <t>티</t>
    </r>
    <r>
      <rPr>
        <sz val="10"/>
        <rFont val="Arial"/>
        <family val="2"/>
      </rPr>
      <t>3</t>
    </r>
    <r>
      <rPr>
        <sz val="10"/>
        <rFont val="DejaVu Sans"/>
        <family val="2"/>
      </rPr>
      <t>일자리</t>
    </r>
  </si>
  <si>
    <r>
      <rPr>
        <sz val="10"/>
        <rFont val="DejaVu Sans"/>
        <family val="2"/>
      </rPr>
      <t>오디세이제</t>
    </r>
    <r>
      <rPr>
        <sz val="10"/>
        <rFont val="Arial"/>
        <family val="2"/>
      </rPr>
      <t>2</t>
    </r>
    <r>
      <rPr>
        <sz val="10"/>
        <rFont val="DejaVu Sans"/>
        <family val="2"/>
      </rPr>
      <t>호</t>
    </r>
  </si>
  <si>
    <r>
      <rPr>
        <sz val="10"/>
        <rFont val="DejaVu Sans"/>
        <family val="2"/>
      </rPr>
      <t>카이로스제</t>
    </r>
    <r>
      <rPr>
        <sz val="10"/>
        <rFont val="Arial"/>
        <family val="2"/>
      </rPr>
      <t>2</t>
    </r>
    <r>
      <rPr>
        <sz val="10"/>
        <rFont val="DejaVu Sans"/>
        <family val="2"/>
      </rPr>
      <t>호</t>
    </r>
  </si>
  <si>
    <t>티소부장제일호창업벤처전문</t>
  </si>
  <si>
    <t>덴탈이노베이션</t>
  </si>
  <si>
    <t>티티유크라운</t>
  </si>
  <si>
    <t>파라투스혁신성장엠앤에이</t>
  </si>
  <si>
    <t>파라투스뉴노멀티씨비</t>
  </si>
  <si>
    <t>파라투스우리소부장</t>
  </si>
  <si>
    <r>
      <rPr>
        <sz val="10"/>
        <rFont val="DejaVu Sans"/>
        <family val="2"/>
      </rPr>
      <t>파라투스혁신성장엠앤에이</t>
    </r>
    <r>
      <rPr>
        <sz val="10"/>
        <rFont val="Arial"/>
        <family val="2"/>
      </rPr>
      <t>2</t>
    </r>
    <r>
      <rPr>
        <sz val="10"/>
        <rFont val="DejaVu Sans"/>
        <family val="2"/>
      </rPr>
      <t>호</t>
    </r>
  </si>
  <si>
    <t>파빌리온제사호</t>
  </si>
  <si>
    <t>파빌리온엠씨클라이밋테크제일호</t>
  </si>
  <si>
    <t>파인우드오션퍼시픽</t>
  </si>
  <si>
    <t>파인트리제오호기업재무안정</t>
  </si>
  <si>
    <t>피피엠</t>
  </si>
  <si>
    <t>파인트리제칠호</t>
  </si>
  <si>
    <r>
      <rPr>
        <sz val="10"/>
        <rFont val="DejaVu Sans"/>
        <family val="2"/>
      </rPr>
      <t>파인트리스페셜시튜에이션즈제</t>
    </r>
    <r>
      <rPr>
        <sz val="10"/>
        <rFont val="Arial"/>
        <family val="2"/>
      </rPr>
      <t>10</t>
    </r>
    <r>
      <rPr>
        <sz val="10"/>
        <rFont val="DejaVu Sans"/>
        <family val="2"/>
      </rPr>
      <t>호</t>
    </r>
  </si>
  <si>
    <r>
      <rPr>
        <sz val="10"/>
        <rFont val="DejaVu Sans"/>
        <family val="2"/>
      </rPr>
      <t>파트너원밸류업</t>
    </r>
    <r>
      <rPr>
        <sz val="10"/>
        <rFont val="Arial"/>
        <family val="2"/>
      </rPr>
      <t>1</t>
    </r>
    <r>
      <rPr>
        <sz val="10"/>
        <rFont val="DejaVu Sans"/>
        <family val="2"/>
      </rPr>
      <t>호</t>
    </r>
  </si>
  <si>
    <r>
      <rPr>
        <sz val="10"/>
        <rFont val="DejaVu Sans"/>
        <family val="2"/>
      </rPr>
      <t>파트너원밸류업</t>
    </r>
    <r>
      <rPr>
        <sz val="10"/>
        <rFont val="Arial"/>
        <family val="2"/>
      </rPr>
      <t>2</t>
    </r>
    <r>
      <rPr>
        <sz val="10"/>
        <rFont val="DejaVu Sans"/>
        <family val="2"/>
      </rPr>
      <t>호창업벤처전문</t>
    </r>
  </si>
  <si>
    <t>팍스톤기술투자</t>
  </si>
  <si>
    <t>토르</t>
  </si>
  <si>
    <r>
      <rPr>
        <sz val="10"/>
        <rFont val="DejaVu Sans"/>
        <family val="2"/>
      </rPr>
      <t>코리아그로쓰제</t>
    </r>
    <r>
      <rPr>
        <sz val="10"/>
        <rFont val="Arial"/>
        <family val="2"/>
      </rPr>
      <t>1</t>
    </r>
    <r>
      <rPr>
        <sz val="10"/>
        <rFont val="DejaVu Sans"/>
        <family val="2"/>
      </rPr>
      <t>호</t>
    </r>
  </si>
  <si>
    <r>
      <rPr>
        <sz val="10"/>
        <rFont val="DejaVu Sans"/>
        <family val="2"/>
      </rPr>
      <t>아비트리지제</t>
    </r>
    <r>
      <rPr>
        <sz val="10"/>
        <rFont val="Arial"/>
        <family val="2"/>
      </rPr>
      <t>1</t>
    </r>
    <r>
      <rPr>
        <sz val="10"/>
        <rFont val="DejaVu Sans"/>
        <family val="2"/>
      </rPr>
      <t>호</t>
    </r>
  </si>
  <si>
    <r>
      <rPr>
        <sz val="10"/>
        <rFont val="DejaVu Sans"/>
        <family val="2"/>
      </rPr>
      <t>바이올렛제</t>
    </r>
    <r>
      <rPr>
        <sz val="10"/>
        <rFont val="Arial"/>
        <family val="2"/>
      </rPr>
      <t>1</t>
    </r>
    <r>
      <rPr>
        <sz val="10"/>
        <rFont val="DejaVu Sans"/>
        <family val="2"/>
      </rPr>
      <t>호</t>
    </r>
  </si>
  <si>
    <r>
      <rPr>
        <sz val="10"/>
        <rFont val="DejaVu Sans"/>
        <family val="2"/>
      </rPr>
      <t>그레이제</t>
    </r>
    <r>
      <rPr>
        <sz val="10"/>
        <rFont val="Arial"/>
        <family val="2"/>
      </rPr>
      <t>1</t>
    </r>
    <r>
      <rPr>
        <sz val="10"/>
        <rFont val="DejaVu Sans"/>
        <family val="2"/>
      </rPr>
      <t>호</t>
    </r>
  </si>
  <si>
    <r>
      <rPr>
        <sz val="10"/>
        <rFont val="DejaVu Sans"/>
        <family val="2"/>
      </rPr>
      <t>보이저제</t>
    </r>
    <r>
      <rPr>
        <sz val="10"/>
        <rFont val="Arial"/>
        <family val="2"/>
      </rPr>
      <t>1</t>
    </r>
    <r>
      <rPr>
        <sz val="10"/>
        <rFont val="DejaVu Sans"/>
        <family val="2"/>
      </rPr>
      <t>호</t>
    </r>
  </si>
  <si>
    <r>
      <rPr>
        <sz val="10"/>
        <rFont val="DejaVu Sans"/>
        <family val="2"/>
      </rPr>
      <t>망고스틴제</t>
    </r>
    <r>
      <rPr>
        <sz val="10"/>
        <rFont val="Arial"/>
        <family val="2"/>
      </rPr>
      <t>1</t>
    </r>
    <r>
      <rPr>
        <sz val="10"/>
        <rFont val="DejaVu Sans"/>
        <family val="2"/>
      </rPr>
      <t>호</t>
    </r>
  </si>
  <si>
    <r>
      <rPr>
        <sz val="10"/>
        <rFont val="DejaVu Sans"/>
        <family val="2"/>
      </rPr>
      <t>퍼즐제</t>
    </r>
    <r>
      <rPr>
        <sz val="10"/>
        <rFont val="Arial"/>
        <family val="2"/>
      </rPr>
      <t>2</t>
    </r>
    <r>
      <rPr>
        <sz val="10"/>
        <rFont val="DejaVu Sans"/>
        <family val="2"/>
      </rPr>
      <t>호</t>
    </r>
  </si>
  <si>
    <r>
      <rPr>
        <sz val="10"/>
        <rFont val="DejaVu Sans"/>
        <family val="2"/>
      </rPr>
      <t>퍼즐제</t>
    </r>
    <r>
      <rPr>
        <sz val="10"/>
        <rFont val="Arial"/>
        <family val="2"/>
      </rPr>
      <t>3</t>
    </r>
    <r>
      <rPr>
        <sz val="10"/>
        <rFont val="DejaVu Sans"/>
        <family val="2"/>
      </rPr>
      <t>호기업재무안정</t>
    </r>
  </si>
  <si>
    <r>
      <rPr>
        <sz val="10"/>
        <rFont val="DejaVu Sans"/>
        <family val="2"/>
      </rPr>
      <t>퍼즐화인제</t>
    </r>
    <r>
      <rPr>
        <sz val="10"/>
        <rFont val="Arial"/>
        <family val="2"/>
      </rPr>
      <t>4</t>
    </r>
    <r>
      <rPr>
        <sz val="10"/>
        <rFont val="DejaVu Sans"/>
        <family val="2"/>
      </rPr>
      <t>호창업벤처전문</t>
    </r>
  </si>
  <si>
    <r>
      <rPr>
        <sz val="10"/>
        <rFont val="DejaVu Sans"/>
        <family val="2"/>
      </rPr>
      <t>펄사</t>
    </r>
    <r>
      <rPr>
        <sz val="10"/>
        <rFont val="Arial"/>
        <family val="2"/>
      </rPr>
      <t>3</t>
    </r>
    <r>
      <rPr>
        <sz val="10"/>
        <rFont val="DejaVu Sans"/>
        <family val="2"/>
      </rPr>
      <t>호미국혁신기업</t>
    </r>
  </si>
  <si>
    <r>
      <rPr>
        <sz val="10"/>
        <rFont val="DejaVu Sans"/>
        <family val="2"/>
      </rPr>
      <t>펄사제</t>
    </r>
    <r>
      <rPr>
        <sz val="10"/>
        <rFont val="Arial"/>
        <family val="2"/>
      </rPr>
      <t>4</t>
    </r>
    <r>
      <rPr>
        <sz val="10"/>
        <rFont val="DejaVu Sans"/>
        <family val="2"/>
      </rPr>
      <t>호글로벌바이오</t>
    </r>
  </si>
  <si>
    <t>피에스에이펄스타아이</t>
  </si>
  <si>
    <r>
      <rPr>
        <sz val="10"/>
        <rFont val="DejaVu Sans"/>
        <family val="2"/>
      </rPr>
      <t>펄리테일제</t>
    </r>
    <r>
      <rPr>
        <sz val="10"/>
        <rFont val="Arial"/>
        <family val="2"/>
      </rPr>
      <t>1</t>
    </r>
    <r>
      <rPr>
        <sz val="10"/>
        <rFont val="DejaVu Sans"/>
        <family val="2"/>
      </rPr>
      <t>호</t>
    </r>
  </si>
  <si>
    <r>
      <rPr>
        <sz val="10"/>
        <rFont val="DejaVu Sans"/>
        <family val="2"/>
      </rPr>
      <t>파인트리</t>
    </r>
    <r>
      <rPr>
        <sz val="10"/>
        <rFont val="Arial"/>
        <family val="2"/>
      </rPr>
      <t>1</t>
    </r>
    <r>
      <rPr>
        <sz val="10"/>
        <rFont val="DejaVu Sans"/>
        <family val="2"/>
      </rPr>
      <t>호창업벤처전문</t>
    </r>
  </si>
  <si>
    <t>오크트리창업벤처전문</t>
  </si>
  <si>
    <r>
      <rPr>
        <sz val="10"/>
        <rFont val="DejaVu Sans"/>
        <family val="2"/>
      </rPr>
      <t>파인트리</t>
    </r>
    <r>
      <rPr>
        <sz val="10"/>
        <rFont val="Arial"/>
        <family val="2"/>
      </rPr>
      <t>2</t>
    </r>
    <r>
      <rPr>
        <sz val="10"/>
        <rFont val="DejaVu Sans"/>
        <family val="2"/>
      </rPr>
      <t>호창업벤처전문</t>
    </r>
  </si>
  <si>
    <t>애플트리창업벤처전문</t>
  </si>
  <si>
    <t>에버그린트리</t>
  </si>
  <si>
    <r>
      <rPr>
        <sz val="10"/>
        <rFont val="DejaVu Sans"/>
        <family val="2"/>
      </rPr>
      <t>애플트리</t>
    </r>
    <r>
      <rPr>
        <sz val="10"/>
        <rFont val="Arial"/>
        <family val="2"/>
      </rPr>
      <t>2</t>
    </r>
    <r>
      <rPr>
        <sz val="10"/>
        <rFont val="DejaVu Sans"/>
        <family val="2"/>
      </rPr>
      <t>의</t>
    </r>
    <r>
      <rPr>
        <sz val="10"/>
        <rFont val="Arial"/>
        <family val="2"/>
      </rPr>
      <t>2</t>
    </r>
    <r>
      <rPr>
        <sz val="10"/>
        <rFont val="DejaVu Sans"/>
        <family val="2"/>
      </rPr>
      <t>호창업벤처전문</t>
    </r>
  </si>
  <si>
    <r>
      <rPr>
        <sz val="10"/>
        <rFont val="DejaVu Sans"/>
        <family val="2"/>
      </rPr>
      <t>에버그린트리</t>
    </r>
    <r>
      <rPr>
        <sz val="10"/>
        <rFont val="Arial"/>
        <family val="2"/>
      </rPr>
      <t>2</t>
    </r>
    <r>
      <rPr>
        <sz val="10"/>
        <rFont val="DejaVu Sans"/>
        <family val="2"/>
      </rPr>
      <t>호</t>
    </r>
  </si>
  <si>
    <r>
      <rPr>
        <sz val="10"/>
        <rFont val="DejaVu Sans"/>
        <family val="2"/>
      </rPr>
      <t>세쿼이아트리</t>
    </r>
    <r>
      <rPr>
        <sz val="10"/>
        <rFont val="Arial"/>
        <family val="2"/>
      </rPr>
      <t>5</t>
    </r>
    <r>
      <rPr>
        <sz val="10"/>
        <rFont val="DejaVu Sans"/>
        <family val="2"/>
      </rPr>
      <t>호창업벤처전문</t>
    </r>
  </si>
  <si>
    <r>
      <rPr>
        <sz val="10"/>
        <rFont val="DejaVu Sans"/>
        <family val="2"/>
      </rPr>
      <t>파인트리</t>
    </r>
    <r>
      <rPr>
        <sz val="10"/>
        <rFont val="Arial"/>
        <family val="2"/>
      </rPr>
      <t>3</t>
    </r>
    <r>
      <rPr>
        <sz val="10"/>
        <rFont val="DejaVu Sans"/>
        <family val="2"/>
      </rPr>
      <t>호창업벤처전문</t>
    </r>
  </si>
  <si>
    <t>라비다</t>
  </si>
  <si>
    <t>메디제노피스</t>
  </si>
  <si>
    <t>프랙시스밸류크리에이션</t>
  </si>
  <si>
    <r>
      <rPr>
        <sz val="10"/>
        <rFont val="DejaVu Sans"/>
        <family val="2"/>
      </rPr>
      <t>프랙시스밸류크리에이션</t>
    </r>
    <r>
      <rPr>
        <sz val="10"/>
        <rFont val="Arial"/>
        <family val="2"/>
      </rPr>
      <t>2</t>
    </r>
    <r>
      <rPr>
        <sz val="10"/>
        <rFont val="DejaVu Sans"/>
        <family val="2"/>
      </rPr>
      <t>의</t>
    </r>
    <r>
      <rPr>
        <sz val="10"/>
        <rFont val="Arial"/>
        <family val="2"/>
      </rPr>
      <t>1</t>
    </r>
    <r>
      <rPr>
        <sz val="10"/>
        <rFont val="DejaVu Sans"/>
        <family val="2"/>
      </rPr>
      <t>호</t>
    </r>
  </si>
  <si>
    <r>
      <rPr>
        <sz val="10"/>
        <rFont val="DejaVu Sans"/>
        <family val="2"/>
      </rPr>
      <t>프랙시스밸류크리에이션</t>
    </r>
    <r>
      <rPr>
        <sz val="10"/>
        <rFont val="Arial"/>
        <family val="2"/>
      </rPr>
      <t>2</t>
    </r>
    <r>
      <rPr>
        <sz val="10"/>
        <rFont val="DejaVu Sans"/>
        <family val="2"/>
      </rPr>
      <t>호</t>
    </r>
  </si>
  <si>
    <r>
      <rPr>
        <sz val="10"/>
        <rFont val="DejaVu Sans"/>
        <family val="2"/>
      </rPr>
      <t>프랙시스샤토코인베스트</t>
    </r>
    <r>
      <rPr>
        <sz val="10"/>
        <rFont val="Arial"/>
        <family val="2"/>
      </rPr>
      <t>1</t>
    </r>
    <r>
      <rPr>
        <sz val="10"/>
        <rFont val="DejaVu Sans"/>
        <family val="2"/>
      </rPr>
      <t>호</t>
    </r>
  </si>
  <si>
    <r>
      <rPr>
        <sz val="10"/>
        <rFont val="DejaVu Sans"/>
        <family val="2"/>
      </rPr>
      <t>프랙시스샤토코인베스트</t>
    </r>
    <r>
      <rPr>
        <sz val="10"/>
        <rFont val="Arial"/>
        <family val="2"/>
      </rPr>
      <t>2</t>
    </r>
    <r>
      <rPr>
        <sz val="10"/>
        <rFont val="DejaVu Sans"/>
        <family val="2"/>
      </rPr>
      <t>호</t>
    </r>
  </si>
  <si>
    <t>프랙시스블라썸코인베스트먼트</t>
  </si>
  <si>
    <t>프랙시스블라썸메자닌코인베스트</t>
  </si>
  <si>
    <t>프리미어성장전략엠앤에이</t>
  </si>
  <si>
    <r>
      <rPr>
        <sz val="10"/>
        <rFont val="DejaVu Sans"/>
        <family val="2"/>
      </rPr>
      <t>프리미어성장전략엠앤에이</t>
    </r>
    <r>
      <rPr>
        <sz val="10"/>
        <rFont val="Arial"/>
        <family val="2"/>
      </rPr>
      <t>2</t>
    </r>
    <r>
      <rPr>
        <sz val="10"/>
        <rFont val="DejaVu Sans"/>
        <family val="2"/>
      </rPr>
      <t>호</t>
    </r>
  </si>
  <si>
    <r>
      <rPr>
        <sz val="10"/>
        <rFont val="DejaVu Sans"/>
        <family val="2"/>
      </rPr>
      <t>프리미어성장전략엠앤에이</t>
    </r>
    <r>
      <rPr>
        <sz val="10"/>
        <rFont val="Arial"/>
        <family val="2"/>
      </rPr>
      <t>3</t>
    </r>
    <r>
      <rPr>
        <sz val="10"/>
        <rFont val="DejaVu Sans"/>
        <family val="2"/>
      </rPr>
      <t>호</t>
    </r>
  </si>
  <si>
    <r>
      <rPr>
        <sz val="10"/>
        <rFont val="DejaVu Sans"/>
        <family val="2"/>
      </rPr>
      <t>호라이즌플로우제</t>
    </r>
    <r>
      <rPr>
        <sz val="10"/>
        <rFont val="Arial"/>
        <family val="2"/>
      </rPr>
      <t>1</t>
    </r>
    <r>
      <rPr>
        <sz val="10"/>
        <rFont val="DejaVu Sans"/>
        <family val="2"/>
      </rPr>
      <t>호</t>
    </r>
  </si>
  <si>
    <r>
      <rPr>
        <sz val="10"/>
        <rFont val="DejaVu Sans"/>
        <family val="2"/>
      </rPr>
      <t>피넛혁신성장제</t>
    </r>
    <r>
      <rPr>
        <sz val="10"/>
        <rFont val="Arial"/>
        <family val="2"/>
      </rPr>
      <t>1</t>
    </r>
    <r>
      <rPr>
        <sz val="10"/>
        <rFont val="DejaVu Sans"/>
        <family val="2"/>
      </rPr>
      <t>호</t>
    </r>
  </si>
  <si>
    <r>
      <rPr>
        <sz val="10"/>
        <rFont val="DejaVu Sans"/>
        <family val="2"/>
      </rPr>
      <t>피아이에이제</t>
    </r>
    <r>
      <rPr>
        <sz val="10"/>
        <rFont val="Arial"/>
        <family val="2"/>
      </rPr>
      <t>3</t>
    </r>
    <r>
      <rPr>
        <sz val="10"/>
        <rFont val="DejaVu Sans"/>
        <family val="2"/>
      </rPr>
      <t>호</t>
    </r>
  </si>
  <si>
    <t>피에스에이뷰티테크</t>
  </si>
  <si>
    <r>
      <rPr>
        <sz val="10"/>
        <rFont val="DejaVu Sans"/>
        <family val="2"/>
      </rPr>
      <t>피에스제</t>
    </r>
    <r>
      <rPr>
        <sz val="10"/>
        <rFont val="Arial"/>
        <family val="2"/>
      </rPr>
      <t>1</t>
    </r>
    <r>
      <rPr>
        <sz val="10"/>
        <rFont val="DejaVu Sans"/>
        <family val="2"/>
      </rPr>
      <t>호</t>
    </r>
  </si>
  <si>
    <t>피엔뮤직제일호</t>
  </si>
  <si>
    <t>피티에이스페셜시츄에이션제일호</t>
  </si>
  <si>
    <r>
      <rPr>
        <sz val="10"/>
        <rFont val="DejaVu Sans"/>
        <family val="2"/>
      </rPr>
      <t>하나대체투자투웨이제</t>
    </r>
    <r>
      <rPr>
        <sz val="10"/>
        <rFont val="Arial"/>
        <family val="2"/>
      </rPr>
      <t>2</t>
    </r>
    <r>
      <rPr>
        <sz val="10"/>
        <rFont val="DejaVu Sans"/>
        <family val="2"/>
      </rPr>
      <t>호</t>
    </r>
  </si>
  <si>
    <r>
      <rPr>
        <sz val="10"/>
        <rFont val="DejaVu Sans"/>
        <family val="2"/>
      </rPr>
      <t>하나대체케이티씨유코인베제</t>
    </r>
    <r>
      <rPr>
        <sz val="10"/>
        <rFont val="Arial"/>
        <family val="2"/>
      </rPr>
      <t>2</t>
    </r>
    <r>
      <rPr>
        <sz val="10"/>
        <rFont val="DejaVu Sans"/>
        <family val="2"/>
      </rPr>
      <t>호</t>
    </r>
  </si>
  <si>
    <t>에이치에프제일호기업재무안정</t>
  </si>
  <si>
    <t>에이치에프제이호기업재무안정</t>
  </si>
  <si>
    <t>호라이즌</t>
  </si>
  <si>
    <r>
      <rPr>
        <sz val="10"/>
        <rFont val="DejaVu Sans"/>
        <family val="2"/>
      </rPr>
      <t>하베스트제</t>
    </r>
    <r>
      <rPr>
        <sz val="10"/>
        <rFont val="Arial"/>
        <family val="2"/>
      </rPr>
      <t>2</t>
    </r>
    <r>
      <rPr>
        <sz val="10"/>
        <rFont val="DejaVu Sans"/>
        <family val="2"/>
      </rPr>
      <t>호</t>
    </r>
  </si>
  <si>
    <r>
      <rPr>
        <sz val="10"/>
        <rFont val="DejaVu Sans"/>
        <family val="2"/>
      </rPr>
      <t>하베스트제</t>
    </r>
    <r>
      <rPr>
        <sz val="10"/>
        <rFont val="Arial"/>
        <family val="2"/>
      </rPr>
      <t>3</t>
    </r>
    <r>
      <rPr>
        <sz val="10"/>
        <rFont val="DejaVu Sans"/>
        <family val="2"/>
      </rPr>
      <t>호</t>
    </r>
  </si>
  <si>
    <t>하이랜드이스포츠</t>
  </si>
  <si>
    <t>캐리스라이프프리아이피오</t>
  </si>
  <si>
    <r>
      <rPr>
        <sz val="10"/>
        <rFont val="DejaVu Sans"/>
        <family val="2"/>
      </rPr>
      <t>하일랜드</t>
    </r>
    <r>
      <rPr>
        <sz val="10"/>
        <rFont val="Arial"/>
        <family val="2"/>
      </rPr>
      <t>2020</t>
    </r>
    <r>
      <rPr>
        <sz val="10"/>
        <rFont val="DejaVu Sans"/>
        <family val="2"/>
      </rPr>
      <t>제</t>
    </r>
    <r>
      <rPr>
        <sz val="10"/>
        <rFont val="Arial"/>
        <family val="2"/>
      </rPr>
      <t>4</t>
    </r>
    <r>
      <rPr>
        <sz val="10"/>
        <rFont val="DejaVu Sans"/>
        <family val="2"/>
      </rPr>
      <t>호</t>
    </r>
  </si>
  <si>
    <r>
      <rPr>
        <sz val="10"/>
        <rFont val="DejaVu Sans"/>
        <family val="2"/>
      </rPr>
      <t>하일랜드</t>
    </r>
    <r>
      <rPr>
        <sz val="10"/>
        <rFont val="Arial"/>
        <family val="2"/>
      </rPr>
      <t>2020</t>
    </r>
    <r>
      <rPr>
        <sz val="10"/>
        <rFont val="DejaVu Sans"/>
        <family val="2"/>
      </rPr>
      <t>제</t>
    </r>
    <r>
      <rPr>
        <sz val="10"/>
        <rFont val="Arial"/>
        <family val="2"/>
      </rPr>
      <t>6</t>
    </r>
    <r>
      <rPr>
        <sz val="10"/>
        <rFont val="DejaVu Sans"/>
        <family val="2"/>
      </rPr>
      <t>호</t>
    </r>
  </si>
  <si>
    <t>글로벌이에스지혁신성장</t>
  </si>
  <si>
    <r>
      <rPr>
        <sz val="10"/>
        <rFont val="DejaVu Sans"/>
        <family val="2"/>
      </rPr>
      <t>하일랜드</t>
    </r>
    <r>
      <rPr>
        <sz val="10"/>
        <rFont val="Arial"/>
        <family val="2"/>
      </rPr>
      <t>2022</t>
    </r>
    <r>
      <rPr>
        <sz val="10"/>
        <rFont val="DejaVu Sans"/>
        <family val="2"/>
      </rPr>
      <t>제</t>
    </r>
    <r>
      <rPr>
        <sz val="10"/>
        <rFont val="Arial"/>
        <family val="2"/>
      </rPr>
      <t>9</t>
    </r>
    <r>
      <rPr>
        <sz val="10"/>
        <rFont val="DejaVu Sans"/>
        <family val="2"/>
      </rPr>
      <t>호</t>
    </r>
  </si>
  <si>
    <r>
      <rPr>
        <sz val="10"/>
        <rFont val="DejaVu Sans"/>
        <family val="2"/>
      </rPr>
      <t>하일랜드</t>
    </r>
    <r>
      <rPr>
        <sz val="10"/>
        <rFont val="Arial"/>
        <family val="2"/>
      </rPr>
      <t>2023</t>
    </r>
    <r>
      <rPr>
        <sz val="10"/>
        <rFont val="DejaVu Sans"/>
        <family val="2"/>
      </rPr>
      <t>제</t>
    </r>
    <r>
      <rPr>
        <sz val="10"/>
        <rFont val="Arial"/>
        <family val="2"/>
      </rPr>
      <t>10</t>
    </r>
    <r>
      <rPr>
        <sz val="10"/>
        <rFont val="DejaVu Sans"/>
        <family val="2"/>
      </rPr>
      <t>호</t>
    </r>
  </si>
  <si>
    <r>
      <rPr>
        <sz val="10"/>
        <rFont val="DejaVu Sans"/>
        <family val="2"/>
      </rPr>
      <t>하일랜드</t>
    </r>
    <r>
      <rPr>
        <sz val="10"/>
        <rFont val="Arial"/>
        <family val="2"/>
      </rPr>
      <t>2024</t>
    </r>
    <r>
      <rPr>
        <sz val="10"/>
        <rFont val="DejaVu Sans"/>
        <family val="2"/>
      </rPr>
      <t>제</t>
    </r>
    <r>
      <rPr>
        <sz val="10"/>
        <rFont val="Arial"/>
        <family val="2"/>
      </rPr>
      <t>12</t>
    </r>
    <r>
      <rPr>
        <sz val="10"/>
        <rFont val="DejaVu Sans"/>
        <family val="2"/>
      </rPr>
      <t>호</t>
    </r>
  </si>
  <si>
    <t>케이디비칸서스밸류</t>
  </si>
  <si>
    <t>케이디비아시아</t>
  </si>
  <si>
    <t>케이디비중소중견메자닌</t>
  </si>
  <si>
    <r>
      <rPr>
        <sz val="10"/>
        <rFont val="DejaVu Sans"/>
        <family val="2"/>
      </rPr>
      <t>기업구조혁신</t>
    </r>
    <r>
      <rPr>
        <sz val="10"/>
        <rFont val="Arial"/>
        <family val="2"/>
      </rPr>
      <t>4</t>
    </r>
    <r>
      <rPr>
        <sz val="10"/>
        <rFont val="DejaVu Sans"/>
        <family val="2"/>
      </rPr>
      <t>호</t>
    </r>
  </si>
  <si>
    <r>
      <rPr>
        <sz val="10"/>
        <rFont val="DejaVu Sans"/>
        <family val="2"/>
      </rPr>
      <t>기업구조혁신재정</t>
    </r>
    <r>
      <rPr>
        <sz val="10"/>
        <rFont val="Arial"/>
        <family val="2"/>
      </rPr>
      <t>5</t>
    </r>
    <r>
      <rPr>
        <sz val="10"/>
        <rFont val="DejaVu Sans"/>
        <family val="2"/>
      </rPr>
      <t>호</t>
    </r>
  </si>
  <si>
    <r>
      <rPr>
        <sz val="10"/>
        <rFont val="DejaVu Sans"/>
        <family val="2"/>
      </rPr>
      <t>기업구조혁신정책</t>
    </r>
    <r>
      <rPr>
        <sz val="10"/>
        <rFont val="Arial"/>
        <family val="2"/>
      </rPr>
      <t>5</t>
    </r>
    <r>
      <rPr>
        <sz val="10"/>
        <rFont val="DejaVu Sans"/>
        <family val="2"/>
      </rPr>
      <t>호</t>
    </r>
  </si>
  <si>
    <r>
      <rPr>
        <sz val="10"/>
        <rFont val="DejaVu Sans"/>
        <family val="2"/>
      </rPr>
      <t>한국투자</t>
    </r>
    <r>
      <rPr>
        <sz val="10"/>
        <rFont val="Arial"/>
        <family val="2"/>
      </rPr>
      <t>2022</t>
    </r>
    <r>
      <rPr>
        <sz val="10"/>
        <rFont val="DejaVu Sans"/>
        <family val="2"/>
      </rPr>
      <t>의</t>
    </r>
    <r>
      <rPr>
        <sz val="10"/>
        <rFont val="Arial"/>
        <family val="2"/>
      </rPr>
      <t>1</t>
    </r>
    <r>
      <rPr>
        <sz val="10"/>
        <rFont val="DejaVu Sans"/>
        <family val="2"/>
      </rPr>
      <t>호</t>
    </r>
  </si>
  <si>
    <t>우리성장파트너십신기술</t>
  </si>
  <si>
    <t>한국투자성장소부장</t>
  </si>
  <si>
    <t>한국투자혁신성장스케일업</t>
  </si>
  <si>
    <t>케이아이피아이콘</t>
  </si>
  <si>
    <t>케이아이피유에스뉴호라이즌</t>
  </si>
  <si>
    <r>
      <rPr>
        <sz val="10"/>
        <rFont val="DejaVu Sans"/>
        <family val="2"/>
      </rPr>
      <t>이큐파트너스제</t>
    </r>
    <r>
      <rPr>
        <sz val="10"/>
        <rFont val="Arial"/>
        <family val="2"/>
      </rPr>
      <t>1</t>
    </r>
    <r>
      <rPr>
        <sz val="10"/>
        <rFont val="DejaVu Sans"/>
        <family val="2"/>
      </rPr>
      <t>호글로벌</t>
    </r>
  </si>
  <si>
    <r>
      <rPr>
        <sz val="10"/>
        <rFont val="DejaVu Sans"/>
        <family val="2"/>
      </rPr>
      <t>한투한화디지털헬스케어제</t>
    </r>
    <r>
      <rPr>
        <sz val="10"/>
        <rFont val="Arial"/>
        <family val="2"/>
      </rPr>
      <t>1</t>
    </r>
    <r>
      <rPr>
        <sz val="10"/>
        <rFont val="DejaVu Sans"/>
        <family val="2"/>
      </rPr>
      <t>호</t>
    </r>
  </si>
  <si>
    <r>
      <rPr>
        <sz val="10"/>
        <rFont val="DejaVu Sans"/>
        <family val="2"/>
      </rPr>
      <t>한국투자</t>
    </r>
    <r>
      <rPr>
        <sz val="10"/>
        <rFont val="Arial"/>
        <family val="2"/>
      </rPr>
      <t>2022</t>
    </r>
  </si>
  <si>
    <r>
      <rPr>
        <sz val="10"/>
        <rFont val="DejaVu Sans"/>
        <family val="2"/>
      </rPr>
      <t>한국투자</t>
    </r>
    <r>
      <rPr>
        <sz val="10"/>
        <rFont val="Arial"/>
        <family val="2"/>
      </rPr>
      <t>2022</t>
    </r>
    <r>
      <rPr>
        <sz val="10"/>
        <rFont val="DejaVu Sans"/>
        <family val="2"/>
      </rPr>
      <t>의</t>
    </r>
    <r>
      <rPr>
        <sz val="10"/>
        <rFont val="Arial"/>
        <family val="2"/>
      </rPr>
      <t>2</t>
    </r>
    <r>
      <rPr>
        <sz val="10"/>
        <rFont val="DejaVu Sans"/>
        <family val="2"/>
      </rPr>
      <t>호</t>
    </r>
  </si>
  <si>
    <r>
      <rPr>
        <sz val="10"/>
        <rFont val="DejaVu Sans"/>
        <family val="2"/>
      </rPr>
      <t>한국투자스페셜시츄에이션제</t>
    </r>
    <r>
      <rPr>
        <sz val="10"/>
        <rFont val="Arial"/>
        <family val="2"/>
      </rPr>
      <t>1</t>
    </r>
    <r>
      <rPr>
        <sz val="10"/>
        <rFont val="DejaVu Sans"/>
        <family val="2"/>
      </rPr>
      <t>호기업재무안정</t>
    </r>
  </si>
  <si>
    <t>한국투자어슈어런스</t>
  </si>
  <si>
    <r>
      <rPr>
        <sz val="10"/>
        <rFont val="DejaVu Sans"/>
        <family val="2"/>
      </rPr>
      <t>한국투자</t>
    </r>
    <r>
      <rPr>
        <sz val="10"/>
        <rFont val="Arial"/>
        <family val="2"/>
      </rPr>
      <t>2024</t>
    </r>
  </si>
  <si>
    <r>
      <rPr>
        <sz val="10"/>
        <rFont val="DejaVu Sans"/>
        <family val="2"/>
      </rPr>
      <t>한앤브라더스퀀텀제</t>
    </r>
    <r>
      <rPr>
        <sz val="10"/>
        <rFont val="Arial"/>
        <family val="2"/>
      </rPr>
      <t>1</t>
    </r>
    <r>
      <rPr>
        <sz val="10"/>
        <rFont val="DejaVu Sans"/>
        <family val="2"/>
      </rPr>
      <t>호</t>
    </r>
  </si>
  <si>
    <t>한앤컴퍼니제일호</t>
  </si>
  <si>
    <r>
      <rPr>
        <sz val="10"/>
        <rFont val="DejaVu Sans"/>
        <family val="2"/>
      </rPr>
      <t>한앤컴퍼니제</t>
    </r>
    <r>
      <rPr>
        <sz val="10"/>
        <rFont val="Arial"/>
        <family val="2"/>
      </rPr>
      <t>2</t>
    </r>
    <r>
      <rPr>
        <sz val="10"/>
        <rFont val="DejaVu Sans"/>
        <family val="2"/>
      </rPr>
      <t>의</t>
    </r>
    <r>
      <rPr>
        <sz val="10"/>
        <rFont val="Arial"/>
        <family val="2"/>
      </rPr>
      <t>1</t>
    </r>
    <r>
      <rPr>
        <sz val="10"/>
        <rFont val="DejaVu Sans"/>
        <family val="2"/>
      </rPr>
      <t>호</t>
    </r>
  </si>
  <si>
    <r>
      <rPr>
        <sz val="10"/>
        <rFont val="DejaVu Sans"/>
        <family val="2"/>
      </rPr>
      <t>한앤컴퍼니제</t>
    </r>
    <r>
      <rPr>
        <sz val="10"/>
        <rFont val="Arial"/>
        <family val="2"/>
      </rPr>
      <t>2</t>
    </r>
    <r>
      <rPr>
        <sz val="10"/>
        <rFont val="DejaVu Sans"/>
        <family val="2"/>
      </rPr>
      <t>의</t>
    </r>
    <r>
      <rPr>
        <sz val="10"/>
        <rFont val="Arial"/>
        <family val="2"/>
      </rPr>
      <t>2</t>
    </r>
    <r>
      <rPr>
        <sz val="10"/>
        <rFont val="DejaVu Sans"/>
        <family val="2"/>
      </rPr>
      <t>호</t>
    </r>
  </si>
  <si>
    <r>
      <rPr>
        <sz val="10"/>
        <rFont val="DejaVu Sans"/>
        <family val="2"/>
      </rPr>
      <t>한앤컴퍼니제</t>
    </r>
    <r>
      <rPr>
        <sz val="10"/>
        <rFont val="Arial"/>
        <family val="2"/>
      </rPr>
      <t>2</t>
    </r>
    <r>
      <rPr>
        <sz val="10"/>
        <rFont val="DejaVu Sans"/>
        <family val="2"/>
      </rPr>
      <t>의</t>
    </r>
    <r>
      <rPr>
        <sz val="10"/>
        <rFont val="Arial"/>
        <family val="2"/>
      </rPr>
      <t>3</t>
    </r>
    <r>
      <rPr>
        <sz val="10"/>
        <rFont val="DejaVu Sans"/>
        <family val="2"/>
      </rPr>
      <t>호</t>
    </r>
  </si>
  <si>
    <r>
      <rPr>
        <sz val="10"/>
        <rFont val="DejaVu Sans"/>
        <family val="2"/>
      </rPr>
      <t>한앤컴퍼니제</t>
    </r>
    <r>
      <rPr>
        <sz val="10"/>
        <rFont val="Arial"/>
        <family val="2"/>
      </rPr>
      <t>2</t>
    </r>
    <r>
      <rPr>
        <sz val="10"/>
        <rFont val="DejaVu Sans"/>
        <family val="2"/>
      </rPr>
      <t>의</t>
    </r>
    <r>
      <rPr>
        <sz val="10"/>
        <rFont val="Arial"/>
        <family val="2"/>
      </rPr>
      <t>4</t>
    </r>
    <r>
      <rPr>
        <sz val="10"/>
        <rFont val="DejaVu Sans"/>
        <family val="2"/>
      </rPr>
      <t>호</t>
    </r>
  </si>
  <si>
    <r>
      <rPr>
        <sz val="10"/>
        <rFont val="DejaVu Sans"/>
        <family val="2"/>
      </rPr>
      <t>한앤컴퍼니제</t>
    </r>
    <r>
      <rPr>
        <sz val="10"/>
        <rFont val="Arial"/>
        <family val="2"/>
      </rPr>
      <t>3</t>
    </r>
    <r>
      <rPr>
        <sz val="10"/>
        <rFont val="DejaVu Sans"/>
        <family val="2"/>
      </rPr>
      <t>의</t>
    </r>
    <r>
      <rPr>
        <sz val="10"/>
        <rFont val="Arial"/>
        <family val="2"/>
      </rPr>
      <t>1</t>
    </r>
    <r>
      <rPr>
        <sz val="10"/>
        <rFont val="DejaVu Sans"/>
        <family val="2"/>
      </rPr>
      <t>호</t>
    </r>
  </si>
  <si>
    <r>
      <rPr>
        <sz val="10"/>
        <rFont val="DejaVu Sans"/>
        <family val="2"/>
      </rPr>
      <t>한앤컴퍼니제</t>
    </r>
    <r>
      <rPr>
        <sz val="10"/>
        <rFont val="Arial"/>
        <family val="2"/>
      </rPr>
      <t>3</t>
    </r>
    <r>
      <rPr>
        <sz val="10"/>
        <rFont val="DejaVu Sans"/>
        <family val="2"/>
      </rPr>
      <t>의</t>
    </r>
    <r>
      <rPr>
        <sz val="10"/>
        <rFont val="Arial"/>
        <family val="2"/>
      </rPr>
      <t>2</t>
    </r>
    <r>
      <rPr>
        <sz val="10"/>
        <rFont val="DejaVu Sans"/>
        <family val="2"/>
      </rPr>
      <t>호</t>
    </r>
  </si>
  <si>
    <r>
      <rPr>
        <sz val="10"/>
        <rFont val="DejaVu Sans"/>
        <family val="2"/>
      </rPr>
      <t>한앤컴퍼니제</t>
    </r>
    <r>
      <rPr>
        <sz val="10"/>
        <rFont val="Arial"/>
        <family val="2"/>
      </rPr>
      <t>3</t>
    </r>
    <r>
      <rPr>
        <sz val="10"/>
        <rFont val="DejaVu Sans"/>
        <family val="2"/>
      </rPr>
      <t>의</t>
    </r>
    <r>
      <rPr>
        <sz val="10"/>
        <rFont val="Arial"/>
        <family val="2"/>
      </rPr>
      <t>3</t>
    </r>
    <r>
      <rPr>
        <sz val="10"/>
        <rFont val="DejaVu Sans"/>
        <family val="2"/>
      </rPr>
      <t>호</t>
    </r>
  </si>
  <si>
    <r>
      <rPr>
        <sz val="10"/>
        <rFont val="DejaVu Sans"/>
        <family val="2"/>
      </rPr>
      <t>한앤컴퍼니제</t>
    </r>
    <r>
      <rPr>
        <sz val="10"/>
        <rFont val="Arial"/>
        <family val="2"/>
      </rPr>
      <t>3</t>
    </r>
    <r>
      <rPr>
        <sz val="10"/>
        <rFont val="DejaVu Sans"/>
        <family val="2"/>
      </rPr>
      <t>의</t>
    </r>
    <r>
      <rPr>
        <sz val="10"/>
        <rFont val="Arial"/>
        <family val="2"/>
      </rPr>
      <t>4</t>
    </r>
    <r>
      <rPr>
        <sz val="10"/>
        <rFont val="DejaVu Sans"/>
        <family val="2"/>
      </rPr>
      <t>호</t>
    </r>
  </si>
  <si>
    <r>
      <rPr>
        <sz val="10"/>
        <rFont val="DejaVu Sans"/>
        <family val="2"/>
      </rPr>
      <t>한앤컴퍼니제</t>
    </r>
    <r>
      <rPr>
        <sz val="10"/>
        <rFont val="Arial"/>
        <family val="2"/>
      </rPr>
      <t>3</t>
    </r>
    <r>
      <rPr>
        <sz val="10"/>
        <rFont val="DejaVu Sans"/>
        <family val="2"/>
      </rPr>
      <t>의</t>
    </r>
    <r>
      <rPr>
        <sz val="10"/>
        <rFont val="Arial"/>
        <family val="2"/>
      </rPr>
      <t>5</t>
    </r>
    <r>
      <rPr>
        <sz val="10"/>
        <rFont val="DejaVu Sans"/>
        <family val="2"/>
      </rPr>
      <t>호</t>
    </r>
  </si>
  <si>
    <r>
      <rPr>
        <sz val="10"/>
        <rFont val="DejaVu Sans"/>
        <family val="2"/>
      </rPr>
      <t>한앤컴퍼니제</t>
    </r>
    <r>
      <rPr>
        <sz val="10"/>
        <rFont val="Arial"/>
        <family val="2"/>
      </rPr>
      <t>3</t>
    </r>
    <r>
      <rPr>
        <sz val="10"/>
        <rFont val="DejaVu Sans"/>
        <family val="2"/>
      </rPr>
      <t>의</t>
    </r>
    <r>
      <rPr>
        <sz val="10"/>
        <rFont val="Arial"/>
        <family val="2"/>
      </rPr>
      <t>6</t>
    </r>
    <r>
      <rPr>
        <sz val="10"/>
        <rFont val="DejaVu Sans"/>
        <family val="2"/>
      </rPr>
      <t>호</t>
    </r>
  </si>
  <si>
    <r>
      <rPr>
        <sz val="10"/>
        <rFont val="DejaVu Sans"/>
        <family val="2"/>
      </rPr>
      <t>한앤컴퍼니코어제</t>
    </r>
    <r>
      <rPr>
        <sz val="10"/>
        <rFont val="Arial"/>
        <family val="2"/>
      </rPr>
      <t>1</t>
    </r>
    <r>
      <rPr>
        <sz val="10"/>
        <rFont val="DejaVu Sans"/>
        <family val="2"/>
      </rPr>
      <t>호</t>
    </r>
  </si>
  <si>
    <r>
      <rPr>
        <sz val="10"/>
        <rFont val="DejaVu Sans"/>
        <family val="2"/>
      </rPr>
      <t>한앤컴퍼니제</t>
    </r>
    <r>
      <rPr>
        <sz val="10"/>
        <rFont val="Arial"/>
        <family val="2"/>
      </rPr>
      <t>4</t>
    </r>
    <r>
      <rPr>
        <sz val="10"/>
        <rFont val="DejaVu Sans"/>
        <family val="2"/>
      </rPr>
      <t>의</t>
    </r>
    <r>
      <rPr>
        <sz val="10"/>
        <rFont val="Arial"/>
        <family val="2"/>
      </rPr>
      <t>1</t>
    </r>
    <r>
      <rPr>
        <sz val="10"/>
        <rFont val="DejaVu Sans"/>
        <family val="2"/>
      </rPr>
      <t>호</t>
    </r>
  </si>
  <si>
    <r>
      <rPr>
        <sz val="10"/>
        <rFont val="DejaVu Sans"/>
        <family val="2"/>
      </rPr>
      <t>한앤컴퍼니제</t>
    </r>
    <r>
      <rPr>
        <sz val="10"/>
        <rFont val="Arial"/>
        <family val="2"/>
      </rPr>
      <t>4</t>
    </r>
    <r>
      <rPr>
        <sz val="10"/>
        <rFont val="DejaVu Sans"/>
        <family val="2"/>
      </rPr>
      <t>의</t>
    </r>
    <r>
      <rPr>
        <sz val="10"/>
        <rFont val="Arial"/>
        <family val="2"/>
      </rPr>
      <t>2</t>
    </r>
    <r>
      <rPr>
        <sz val="10"/>
        <rFont val="DejaVu Sans"/>
        <family val="2"/>
      </rPr>
      <t>호</t>
    </r>
  </si>
  <si>
    <r>
      <rPr>
        <sz val="10"/>
        <rFont val="DejaVu Sans"/>
        <family val="2"/>
      </rPr>
      <t>한앤컴퍼니제</t>
    </r>
    <r>
      <rPr>
        <sz val="10"/>
        <rFont val="Arial"/>
        <family val="2"/>
      </rPr>
      <t>4</t>
    </r>
    <r>
      <rPr>
        <sz val="10"/>
        <rFont val="DejaVu Sans"/>
        <family val="2"/>
      </rPr>
      <t>의</t>
    </r>
    <r>
      <rPr>
        <sz val="10"/>
        <rFont val="Arial"/>
        <family val="2"/>
      </rPr>
      <t>3</t>
    </r>
    <r>
      <rPr>
        <sz val="10"/>
        <rFont val="DejaVu Sans"/>
        <family val="2"/>
      </rPr>
      <t>호</t>
    </r>
  </si>
  <si>
    <r>
      <rPr>
        <sz val="10"/>
        <rFont val="DejaVu Sans"/>
        <family val="2"/>
      </rPr>
      <t>한앤컴퍼니제</t>
    </r>
    <r>
      <rPr>
        <sz val="10"/>
        <rFont val="Arial"/>
        <family val="2"/>
      </rPr>
      <t>4</t>
    </r>
    <r>
      <rPr>
        <sz val="10"/>
        <rFont val="DejaVu Sans"/>
        <family val="2"/>
      </rPr>
      <t>의</t>
    </r>
    <r>
      <rPr>
        <sz val="10"/>
        <rFont val="Arial"/>
        <family val="2"/>
      </rPr>
      <t>4</t>
    </r>
    <r>
      <rPr>
        <sz val="10"/>
        <rFont val="DejaVu Sans"/>
        <family val="2"/>
      </rPr>
      <t>호</t>
    </r>
  </si>
  <si>
    <r>
      <rPr>
        <sz val="10"/>
        <rFont val="DejaVu Sans"/>
        <family val="2"/>
      </rPr>
      <t>한앤컴퍼니제</t>
    </r>
    <r>
      <rPr>
        <sz val="10"/>
        <rFont val="Arial"/>
        <family val="2"/>
      </rPr>
      <t>4</t>
    </r>
    <r>
      <rPr>
        <sz val="10"/>
        <rFont val="DejaVu Sans"/>
        <family val="2"/>
      </rPr>
      <t>의</t>
    </r>
    <r>
      <rPr>
        <sz val="10"/>
        <rFont val="Arial"/>
        <family val="2"/>
      </rPr>
      <t>1</t>
    </r>
    <r>
      <rPr>
        <sz val="10"/>
        <rFont val="DejaVu Sans"/>
        <family val="2"/>
      </rPr>
      <t>비호</t>
    </r>
  </si>
  <si>
    <t>헤임달제일호</t>
  </si>
  <si>
    <r>
      <rPr>
        <sz val="10"/>
        <rFont val="DejaVu Sans"/>
        <family val="2"/>
      </rPr>
      <t>헬리오스제</t>
    </r>
    <r>
      <rPr>
        <sz val="10"/>
        <rFont val="Arial"/>
        <family val="2"/>
      </rPr>
      <t>6</t>
    </r>
    <r>
      <rPr>
        <sz val="10"/>
        <rFont val="DejaVu Sans"/>
        <family val="2"/>
      </rPr>
      <t>호</t>
    </r>
  </si>
  <si>
    <r>
      <rPr>
        <sz val="10"/>
        <rFont val="DejaVu Sans"/>
        <family val="2"/>
      </rPr>
      <t>헬리오스제</t>
    </r>
    <r>
      <rPr>
        <sz val="10"/>
        <rFont val="Arial"/>
        <family val="2"/>
      </rPr>
      <t>8</t>
    </r>
    <r>
      <rPr>
        <sz val="10"/>
        <rFont val="DejaVu Sans"/>
        <family val="2"/>
      </rPr>
      <t>호</t>
    </r>
  </si>
  <si>
    <r>
      <rPr>
        <sz val="10"/>
        <rFont val="DejaVu Sans"/>
        <family val="2"/>
      </rPr>
      <t>헬리오스제</t>
    </r>
    <r>
      <rPr>
        <sz val="10"/>
        <rFont val="Arial"/>
        <family val="2"/>
      </rPr>
      <t>9</t>
    </r>
    <r>
      <rPr>
        <sz val="10"/>
        <rFont val="DejaVu Sans"/>
        <family val="2"/>
      </rPr>
      <t>호</t>
    </r>
  </si>
  <si>
    <r>
      <rPr>
        <sz val="10"/>
        <rFont val="DejaVu Sans"/>
        <family val="2"/>
      </rPr>
      <t>화이트파인제</t>
    </r>
    <r>
      <rPr>
        <sz val="10"/>
        <rFont val="Arial"/>
        <family val="2"/>
      </rPr>
      <t>1</t>
    </r>
    <r>
      <rPr>
        <sz val="10"/>
        <rFont val="DejaVu Sans"/>
        <family val="2"/>
      </rPr>
      <t>호</t>
    </r>
  </si>
  <si>
    <r>
      <rPr>
        <sz val="10"/>
        <rFont val="DejaVu Sans"/>
        <family val="2"/>
      </rPr>
      <t>화인그린뉴딜제</t>
    </r>
    <r>
      <rPr>
        <sz val="10"/>
        <rFont val="Arial"/>
        <family val="2"/>
      </rPr>
      <t>1</t>
    </r>
    <r>
      <rPr>
        <sz val="10"/>
        <rFont val="DejaVu Sans"/>
        <family val="2"/>
      </rPr>
      <t>호창업벤처전문</t>
    </r>
  </si>
  <si>
    <r>
      <rPr>
        <sz val="10"/>
        <rFont val="DejaVu Sans"/>
        <family val="2"/>
      </rPr>
      <t>화인그린뉴딜제</t>
    </r>
    <r>
      <rPr>
        <sz val="10"/>
        <rFont val="Arial"/>
        <family val="2"/>
      </rPr>
      <t>2</t>
    </r>
    <r>
      <rPr>
        <sz val="10"/>
        <rFont val="DejaVu Sans"/>
        <family val="2"/>
      </rPr>
      <t>호</t>
    </r>
  </si>
  <si>
    <r>
      <rPr>
        <b/>
        <sz val="14"/>
        <color rgb="FF1F4E79"/>
        <rFont val="Arial"/>
        <family val="2"/>
      </rPr>
      <t>GP</t>
    </r>
    <r>
      <rPr>
        <b/>
        <sz val="14"/>
        <color rgb="FF1F4E79"/>
        <rFont val="DejaVu Sans"/>
        <family val="2"/>
      </rPr>
      <t xml:space="preserve">별 연도별 </t>
    </r>
    <r>
      <rPr>
        <b/>
        <sz val="14"/>
        <color rgb="FF1F4E79"/>
        <rFont val="Arial"/>
        <family val="2"/>
      </rPr>
      <t xml:space="preserve">PEF </t>
    </r>
    <r>
      <rPr>
        <b/>
        <sz val="14"/>
        <color rgb="FF1F4E79"/>
        <rFont val="DejaVu Sans"/>
        <family val="2"/>
      </rPr>
      <t>설립 활동 매트릭스</t>
    </r>
  </si>
  <si>
    <r>
      <rPr>
        <b/>
        <sz val="11"/>
        <color rgb="FFFFFFFF"/>
        <rFont val="DejaVu Sans"/>
        <family val="2"/>
      </rPr>
      <t>최소약정</t>
    </r>
    <r>
      <rPr>
        <b/>
        <sz val="11"/>
        <color rgb="FFFFFFFF"/>
        <rFont val="Arial"/>
        <family val="2"/>
      </rPr>
      <t>(</t>
    </r>
    <r>
      <rPr>
        <b/>
        <sz val="11"/>
        <color rgb="FFFFFFFF"/>
        <rFont val="DejaVu Sans"/>
        <family val="2"/>
      </rPr>
      <t>억원</t>
    </r>
    <r>
      <rPr>
        <b/>
        <sz val="11"/>
        <color rgb="FFFFFFFF"/>
        <rFont val="Arial"/>
        <family val="2"/>
      </rPr>
      <t>)</t>
    </r>
  </si>
  <si>
    <r>
      <rPr>
        <b/>
        <sz val="11"/>
        <color rgb="FFFFFFFF"/>
        <rFont val="DejaVu Sans"/>
        <family val="2"/>
      </rPr>
      <t>최대약정</t>
    </r>
    <r>
      <rPr>
        <b/>
        <sz val="11"/>
        <color rgb="FFFFFFFF"/>
        <rFont val="Arial"/>
        <family val="2"/>
      </rPr>
      <t>(</t>
    </r>
    <r>
      <rPr>
        <b/>
        <sz val="11"/>
        <color rgb="FFFFFFFF"/>
        <rFont val="DejaVu Sans"/>
        <family val="2"/>
      </rPr>
      <t>억원</t>
    </r>
    <r>
      <rPr>
        <b/>
        <sz val="11"/>
        <color rgb="FFFFFFFF"/>
        <rFont val="Arial"/>
        <family val="2"/>
      </rPr>
      <t>)</t>
    </r>
  </si>
  <si>
    <r>
      <rPr>
        <b/>
        <sz val="11"/>
        <color rgb="FFFFFFFF"/>
        <rFont val="Arial"/>
        <family val="2"/>
      </rPr>
      <t>2010</t>
    </r>
    <r>
      <rPr>
        <b/>
        <sz val="11"/>
        <color rgb="FFFFFFFF"/>
        <rFont val="DejaVu Sans"/>
        <family val="2"/>
      </rPr>
      <t>년</t>
    </r>
  </si>
  <si>
    <r>
      <rPr>
        <b/>
        <sz val="11"/>
        <color rgb="FFFFFFFF"/>
        <rFont val="Arial"/>
        <family val="2"/>
      </rPr>
      <t>2011</t>
    </r>
    <r>
      <rPr>
        <b/>
        <sz val="11"/>
        <color rgb="FFFFFFFF"/>
        <rFont val="DejaVu Sans"/>
        <family val="2"/>
      </rPr>
      <t>년</t>
    </r>
  </si>
  <si>
    <r>
      <rPr>
        <b/>
        <sz val="11"/>
        <color rgb="FFFFFFFF"/>
        <rFont val="Arial"/>
        <family val="2"/>
      </rPr>
      <t>2013</t>
    </r>
    <r>
      <rPr>
        <b/>
        <sz val="11"/>
        <color rgb="FFFFFFFF"/>
        <rFont val="DejaVu Sans"/>
        <family val="2"/>
      </rPr>
      <t>년</t>
    </r>
  </si>
  <si>
    <r>
      <rPr>
        <b/>
        <sz val="11"/>
        <color rgb="FFFFFFFF"/>
        <rFont val="Arial"/>
        <family val="2"/>
      </rPr>
      <t>2014</t>
    </r>
    <r>
      <rPr>
        <b/>
        <sz val="11"/>
        <color rgb="FFFFFFFF"/>
        <rFont val="DejaVu Sans"/>
        <family val="2"/>
      </rPr>
      <t>년</t>
    </r>
  </si>
  <si>
    <r>
      <rPr>
        <b/>
        <sz val="11"/>
        <color rgb="FFFFFFFF"/>
        <rFont val="Arial"/>
        <family val="2"/>
      </rPr>
      <t>2015</t>
    </r>
    <r>
      <rPr>
        <b/>
        <sz val="11"/>
        <color rgb="FFFFFFFF"/>
        <rFont val="DejaVu Sans"/>
        <family val="2"/>
      </rPr>
      <t>년</t>
    </r>
  </si>
  <si>
    <r>
      <rPr>
        <b/>
        <sz val="11"/>
        <color rgb="FFFFFFFF"/>
        <rFont val="Arial"/>
        <family val="2"/>
      </rPr>
      <t>2016</t>
    </r>
    <r>
      <rPr>
        <b/>
        <sz val="11"/>
        <color rgb="FFFFFFFF"/>
        <rFont val="DejaVu Sans"/>
        <family val="2"/>
      </rPr>
      <t>년</t>
    </r>
  </si>
  <si>
    <r>
      <rPr>
        <b/>
        <sz val="11"/>
        <color rgb="FFFFFFFF"/>
        <rFont val="Arial"/>
        <family val="2"/>
      </rPr>
      <t>2017</t>
    </r>
    <r>
      <rPr>
        <b/>
        <sz val="11"/>
        <color rgb="FFFFFFFF"/>
        <rFont val="DejaVu Sans"/>
        <family val="2"/>
      </rPr>
      <t>년</t>
    </r>
  </si>
  <si>
    <r>
      <rPr>
        <b/>
        <sz val="11"/>
        <color rgb="FFFFFFFF"/>
        <rFont val="Arial"/>
        <family val="2"/>
      </rPr>
      <t>2018</t>
    </r>
    <r>
      <rPr>
        <b/>
        <sz val="11"/>
        <color rgb="FFFFFFFF"/>
        <rFont val="DejaVu Sans"/>
        <family val="2"/>
      </rPr>
      <t>년</t>
    </r>
  </si>
  <si>
    <r>
      <rPr>
        <b/>
        <sz val="11"/>
        <color rgb="FFFFFFFF"/>
        <rFont val="Arial"/>
        <family val="2"/>
      </rPr>
      <t>2019</t>
    </r>
    <r>
      <rPr>
        <b/>
        <sz val="11"/>
        <color rgb="FFFFFFFF"/>
        <rFont val="DejaVu Sans"/>
        <family val="2"/>
      </rPr>
      <t>년</t>
    </r>
  </si>
  <si>
    <r>
      <rPr>
        <b/>
        <sz val="11"/>
        <color rgb="FFFFFFFF"/>
        <rFont val="Arial"/>
        <family val="2"/>
      </rPr>
      <t>2020</t>
    </r>
    <r>
      <rPr>
        <b/>
        <sz val="11"/>
        <color rgb="FFFFFFFF"/>
        <rFont val="DejaVu Sans"/>
        <family val="2"/>
      </rPr>
      <t>년</t>
    </r>
  </si>
  <si>
    <r>
      <rPr>
        <b/>
        <sz val="11"/>
        <color rgb="FFFFFFFF"/>
        <rFont val="Arial"/>
        <family val="2"/>
      </rPr>
      <t>2021</t>
    </r>
    <r>
      <rPr>
        <b/>
        <sz val="11"/>
        <color rgb="FFFFFFFF"/>
        <rFont val="DejaVu Sans"/>
        <family val="2"/>
      </rPr>
      <t>년</t>
    </r>
  </si>
  <si>
    <r>
      <rPr>
        <b/>
        <sz val="11"/>
        <color rgb="FFFFFFFF"/>
        <rFont val="Arial"/>
        <family val="2"/>
      </rPr>
      <t>2022</t>
    </r>
    <r>
      <rPr>
        <b/>
        <sz val="11"/>
        <color rgb="FFFFFFFF"/>
        <rFont val="DejaVu Sans"/>
        <family val="2"/>
      </rPr>
      <t>년</t>
    </r>
  </si>
  <si>
    <r>
      <rPr>
        <b/>
        <sz val="11"/>
        <color rgb="FFFFFFFF"/>
        <rFont val="Arial"/>
        <family val="2"/>
      </rPr>
      <t>2023</t>
    </r>
    <r>
      <rPr>
        <b/>
        <sz val="11"/>
        <color rgb="FFFFFFFF"/>
        <rFont val="DejaVu Sans"/>
        <family val="2"/>
      </rPr>
      <t>년</t>
    </r>
  </si>
  <si>
    <r>
      <rPr>
        <b/>
        <sz val="11"/>
        <color rgb="FFFFFFFF"/>
        <rFont val="Arial"/>
        <family val="2"/>
      </rPr>
      <t>2024</t>
    </r>
    <r>
      <rPr>
        <b/>
        <sz val="11"/>
        <color rgb="FFFFFFFF"/>
        <rFont val="DejaVu Sans"/>
        <family val="2"/>
      </rPr>
      <t>년</t>
    </r>
  </si>
  <si>
    <t>-</t>
  </si>
  <si>
    <t>최소 기준점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</si>
</sst>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.0"/>
    <numFmt numFmtId="177" formatCode="yyyy\-mm\-dd"/>
  </numFmts>
  <fonts count="15">
    <font>
      <sz val="11"/>
      <color theme="1"/>
      <name val="Calibri"/>
      <family val="2"/>
      <charset val="1"/>
    </font>
    <font>
      <b/>
      <sz val="14"/>
      <color rgb="FF1F4E79"/>
      <name val="Arial"/>
      <charset val="1"/>
    </font>
    <font>
      <b/>
      <sz val="14"/>
      <color rgb="FF1F4E79"/>
      <name val="DejaVu Sans"/>
      <family val="2"/>
    </font>
    <font>
      <sz val="10"/>
      <color rgb="FF666666"/>
      <name val="DejaVu Sans"/>
      <family val="2"/>
    </font>
    <font>
      <sz val="10"/>
      <color rgb="FF666666"/>
      <name val="Arial"/>
      <family val="2"/>
    </font>
    <font>
      <b/>
      <sz val="11"/>
      <color rgb="FFFFFFFF"/>
      <name val="Arial"/>
      <family val="2"/>
    </font>
    <font>
      <b/>
      <sz val="11"/>
      <color rgb="FFFFFFFF"/>
      <name val="DejaVu Sans"/>
      <family val="2"/>
    </font>
    <font>
      <sz val="10"/>
      <name val="Arial"/>
      <family val="2"/>
    </font>
    <font>
      <sz val="10"/>
      <name val="DejaVu Sans"/>
      <family val="2"/>
    </font>
    <font>
      <b/>
      <sz val="10"/>
      <color rgb="FF1F4E79"/>
      <name val="Arial"/>
      <family val="2"/>
    </font>
    <font>
      <sz val="10"/>
      <color rgb="FFBBBBBB"/>
      <name val="Arial"/>
      <family val="2"/>
    </font>
    <font>
      <sz val="10"/>
      <color rgb="FF006100"/>
      <name val="Arial"/>
      <family val="2"/>
    </font>
    <font>
      <b/>
      <sz val="14"/>
      <color rgb="FF1F4E79"/>
      <name val="Arial"/>
      <family val="2"/>
    </font>
    <font>
      <sz val="8"/>
      <name val="돋움"/>
      <family val="3"/>
      <charset val="129"/>
    </font>
    <font>
      <b/>
      <sz val="11"/>
      <color rgb="FFFFFFFF"/>
      <name val="맑은 고딕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2CC"/>
        <bgColor rgb="FFFFFFFF"/>
      </patternFill>
    </fill>
    <fill>
      <patternFill patternType="solid">
        <fgColor rgb="FFC6EFCE"/>
        <bgColor rgb="FFCCFFFF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4" fillId="0" borderId="0" xfId="0" applyFont="1"/>
    <xf numFmtId="0" fontId="3" fillId="0" borderId="0" xfId="0" applyFont="1"/>
    <xf numFmtId="0" fontId="1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/>
    <xf numFmtId="176" fontId="9" fillId="3" borderId="1" xfId="0" applyNumberFormat="1" applyFont="1" applyFill="1" applyBorder="1"/>
    <xf numFmtId="176" fontId="7" fillId="0" borderId="1" xfId="0" applyNumberFormat="1" applyFont="1" applyBorder="1"/>
    <xf numFmtId="0" fontId="8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177" fontId="7" fillId="0" borderId="1" xfId="0" applyNumberFormat="1" applyFont="1" applyBorder="1" applyAlignment="1">
      <alignment horizontal="center" vertical="center"/>
    </xf>
    <xf numFmtId="0" fontId="7" fillId="0" borderId="1" xfId="0" applyFont="1" applyBorder="1"/>
    <xf numFmtId="0" fontId="10" fillId="0" borderId="1" xfId="0" applyFont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63"/>
  <sheetViews>
    <sheetView tabSelected="1" zoomScaleNormal="100" workbookViewId="0">
      <pane ySplit="5" topLeftCell="A194" activePane="bottomLeft" state="frozen"/>
      <selection pane="bottomLeft" activeCell="A199" sqref="A199"/>
    </sheetView>
  </sheetViews>
  <sheetFormatPr defaultColWidth="8.6640625" defaultRowHeight="15" customHeight="1"/>
  <cols>
    <col min="1" max="1" width="6" customWidth="1"/>
    <col min="2" max="2" width="35" customWidth="1"/>
    <col min="3" max="5" width="16" customWidth="1"/>
    <col min="6" max="6" width="8" customWidth="1"/>
    <col min="7" max="7" width="10" customWidth="1"/>
    <col min="8" max="8" width="18" customWidth="1"/>
    <col min="9" max="9" width="16" customWidth="1"/>
    <col min="10" max="13" width="9" customWidth="1"/>
    <col min="14" max="14" width="55" customWidth="1"/>
  </cols>
  <sheetData>
    <row r="1" spans="1:14" ht="17.649999999999999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 ht="14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ht="14.25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5" spans="1:14" ht="27.75">
      <c r="A5" s="4" t="s">
        <v>3</v>
      </c>
      <c r="B5" s="4" t="s">
        <v>4</v>
      </c>
      <c r="C5" s="5" t="s">
        <v>5</v>
      </c>
      <c r="D5" s="16" t="s">
        <v>1587</v>
      </c>
      <c r="E5" s="5" t="s">
        <v>6</v>
      </c>
      <c r="F5" s="5" t="s">
        <v>7</v>
      </c>
      <c r="G5" s="4" t="s">
        <v>8</v>
      </c>
      <c r="H5" s="4" t="s">
        <v>9</v>
      </c>
      <c r="I5" s="5" t="s">
        <v>10</v>
      </c>
      <c r="J5" s="4" t="s">
        <v>11</v>
      </c>
      <c r="K5" s="4" t="s">
        <v>12</v>
      </c>
      <c r="L5" s="4" t="s">
        <v>13</v>
      </c>
      <c r="M5" s="4" t="s">
        <v>14</v>
      </c>
      <c r="N5" s="5" t="s">
        <v>15</v>
      </c>
    </row>
    <row r="6" spans="1:14" ht="38.25">
      <c r="A6" s="6">
        <v>1</v>
      </c>
      <c r="B6" s="7" t="s">
        <v>16</v>
      </c>
      <c r="C6" s="8">
        <v>169.2</v>
      </c>
      <c r="D6" s="8">
        <v>1500</v>
      </c>
      <c r="E6" s="8">
        <v>45350</v>
      </c>
      <c r="F6" s="6">
        <v>19</v>
      </c>
      <c r="G6" s="6">
        <v>13</v>
      </c>
      <c r="H6" s="9">
        <v>70606.600000000006</v>
      </c>
      <c r="I6" s="9">
        <v>173519.3</v>
      </c>
      <c r="J6" s="6">
        <v>0</v>
      </c>
      <c r="K6" s="6">
        <v>0</v>
      </c>
      <c r="L6" s="6">
        <v>9</v>
      </c>
      <c r="M6" s="6">
        <v>4</v>
      </c>
      <c r="N6" s="10" t="s">
        <v>17</v>
      </c>
    </row>
    <row r="7" spans="1:14" ht="38.25">
      <c r="A7" s="6">
        <v>2</v>
      </c>
      <c r="B7" s="7" t="s">
        <v>18</v>
      </c>
      <c r="C7" s="8">
        <v>1513</v>
      </c>
      <c r="D7" s="8">
        <f>C7</f>
        <v>1513</v>
      </c>
      <c r="E7" s="8">
        <v>29334</v>
      </c>
      <c r="F7" s="6">
        <v>18</v>
      </c>
      <c r="G7" s="6">
        <v>7</v>
      </c>
      <c r="H7" s="9">
        <v>67706</v>
      </c>
      <c r="I7" s="9">
        <v>162903.5</v>
      </c>
      <c r="J7" s="6">
        <v>0</v>
      </c>
      <c r="K7" s="6">
        <v>2</v>
      </c>
      <c r="L7" s="6">
        <v>4</v>
      </c>
      <c r="M7" s="6">
        <v>1</v>
      </c>
      <c r="N7" s="10" t="s">
        <v>19</v>
      </c>
    </row>
    <row r="8" spans="1:14" ht="25.5">
      <c r="A8" s="6">
        <v>3</v>
      </c>
      <c r="B8" s="7" t="s">
        <v>20</v>
      </c>
      <c r="C8" s="8">
        <v>151</v>
      </c>
      <c r="D8" s="8">
        <f>D6</f>
        <v>1500</v>
      </c>
      <c r="E8" s="8">
        <v>19523</v>
      </c>
      <c r="F8" s="6">
        <v>21</v>
      </c>
      <c r="G8" s="6">
        <v>8</v>
      </c>
      <c r="H8" s="9">
        <v>28227.4</v>
      </c>
      <c r="I8" s="9">
        <v>71698.399999999994</v>
      </c>
      <c r="J8" s="6">
        <v>3</v>
      </c>
      <c r="K8" s="6">
        <v>2</v>
      </c>
      <c r="L8" s="6">
        <v>0</v>
      </c>
      <c r="M8" s="6">
        <v>3</v>
      </c>
      <c r="N8" s="10" t="s">
        <v>21</v>
      </c>
    </row>
    <row r="9" spans="1:14" ht="25.5">
      <c r="A9" s="6">
        <v>4</v>
      </c>
      <c r="B9" s="7" t="s">
        <v>22</v>
      </c>
      <c r="C9" s="8">
        <v>501.1</v>
      </c>
      <c r="D9" s="8">
        <f>C9*2</f>
        <v>1002.2</v>
      </c>
      <c r="E9" s="8">
        <v>17200</v>
      </c>
      <c r="F9" s="6">
        <v>14</v>
      </c>
      <c r="G9" s="6">
        <v>12</v>
      </c>
      <c r="H9" s="9">
        <v>39214</v>
      </c>
      <c r="I9" s="9">
        <v>54584.2</v>
      </c>
      <c r="J9" s="6">
        <v>4</v>
      </c>
      <c r="K9" s="6">
        <v>1</v>
      </c>
      <c r="L9" s="6">
        <v>5</v>
      </c>
      <c r="M9" s="6">
        <v>2</v>
      </c>
      <c r="N9" s="10" t="s">
        <v>23</v>
      </c>
    </row>
    <row r="10" spans="1:14" ht="14.25">
      <c r="A10" s="6">
        <v>5</v>
      </c>
      <c r="B10" s="7" t="s">
        <v>24</v>
      </c>
      <c r="C10" s="8">
        <v>104</v>
      </c>
      <c r="D10" s="8">
        <v>500</v>
      </c>
      <c r="E10" s="8">
        <v>14000</v>
      </c>
      <c r="F10" s="6">
        <v>24</v>
      </c>
      <c r="G10" s="6">
        <v>14</v>
      </c>
      <c r="H10" s="9">
        <v>17155.3</v>
      </c>
      <c r="I10" s="9">
        <v>42586.2</v>
      </c>
      <c r="J10" s="6">
        <v>2</v>
      </c>
      <c r="K10" s="6">
        <v>1</v>
      </c>
      <c r="L10" s="6">
        <v>5</v>
      </c>
      <c r="M10" s="6">
        <v>6</v>
      </c>
      <c r="N10" s="10" t="s">
        <v>25</v>
      </c>
    </row>
    <row r="11" spans="1:14" ht="25.5">
      <c r="A11" s="6">
        <v>6</v>
      </c>
      <c r="B11" s="7" t="s">
        <v>26</v>
      </c>
      <c r="C11" s="8">
        <v>1888</v>
      </c>
      <c r="D11" s="8">
        <f>C11</f>
        <v>1888</v>
      </c>
      <c r="E11" s="8">
        <v>12245</v>
      </c>
      <c r="F11" s="6">
        <v>6</v>
      </c>
      <c r="G11" s="6">
        <v>1</v>
      </c>
      <c r="H11" s="9">
        <v>12245</v>
      </c>
      <c r="I11" s="9">
        <v>28297</v>
      </c>
      <c r="J11" s="6">
        <v>0</v>
      </c>
      <c r="K11" s="6">
        <v>0</v>
      </c>
      <c r="L11" s="6">
        <v>1</v>
      </c>
      <c r="M11" s="6">
        <v>0</v>
      </c>
      <c r="N11" s="11" t="s">
        <v>27</v>
      </c>
    </row>
    <row r="12" spans="1:14" ht="25.5">
      <c r="A12" s="6">
        <v>7</v>
      </c>
      <c r="B12" s="7" t="s">
        <v>28</v>
      </c>
      <c r="C12" s="8">
        <v>2120.5</v>
      </c>
      <c r="D12" s="8">
        <f>C12</f>
        <v>2120.5</v>
      </c>
      <c r="E12" s="8">
        <v>10840</v>
      </c>
      <c r="F12" s="6">
        <v>5</v>
      </c>
      <c r="G12" s="6">
        <v>3</v>
      </c>
      <c r="H12" s="9">
        <v>15160</v>
      </c>
      <c r="I12" s="9">
        <v>26358.5</v>
      </c>
      <c r="J12" s="6">
        <v>0</v>
      </c>
      <c r="K12" s="6">
        <v>1</v>
      </c>
      <c r="L12" s="6">
        <v>1</v>
      </c>
      <c r="M12" s="6">
        <v>1</v>
      </c>
      <c r="N12" s="10" t="s">
        <v>29</v>
      </c>
    </row>
    <row r="13" spans="1:14" ht="25.5">
      <c r="A13" s="6">
        <v>8</v>
      </c>
      <c r="B13" s="7" t="s">
        <v>30</v>
      </c>
      <c r="C13" s="8">
        <v>112.3</v>
      </c>
      <c r="D13" s="8">
        <f>C13*3</f>
        <v>336.9</v>
      </c>
      <c r="E13" s="8">
        <v>9608</v>
      </c>
      <c r="F13" s="6">
        <v>28</v>
      </c>
      <c r="G13" s="6">
        <v>13</v>
      </c>
      <c r="H13" s="9">
        <v>33351.9</v>
      </c>
      <c r="I13" s="9">
        <v>61543</v>
      </c>
      <c r="J13" s="6">
        <v>3</v>
      </c>
      <c r="K13" s="6">
        <v>0</v>
      </c>
      <c r="L13" s="6">
        <v>4</v>
      </c>
      <c r="M13" s="6">
        <v>6</v>
      </c>
      <c r="N13" s="10" t="s">
        <v>31</v>
      </c>
    </row>
    <row r="14" spans="1:14" ht="25.5">
      <c r="A14" s="6">
        <v>9</v>
      </c>
      <c r="B14" s="7" t="s">
        <v>32</v>
      </c>
      <c r="C14" s="8">
        <v>1401</v>
      </c>
      <c r="D14" s="8">
        <f>C14</f>
        <v>1401</v>
      </c>
      <c r="E14" s="8">
        <v>8878</v>
      </c>
      <c r="F14" s="6">
        <v>2</v>
      </c>
      <c r="G14" s="6">
        <v>1</v>
      </c>
      <c r="H14" s="9">
        <v>1401</v>
      </c>
      <c r="I14" s="9">
        <v>10279</v>
      </c>
      <c r="J14" s="6">
        <v>0</v>
      </c>
      <c r="K14" s="6">
        <v>0</v>
      </c>
      <c r="L14" s="6">
        <v>0</v>
      </c>
      <c r="M14" s="6">
        <v>1</v>
      </c>
      <c r="N14" s="10" t="s">
        <v>33</v>
      </c>
    </row>
    <row r="15" spans="1:14" ht="25.5">
      <c r="A15" s="6">
        <v>10</v>
      </c>
      <c r="B15" s="7" t="s">
        <v>34</v>
      </c>
      <c r="C15" s="8">
        <v>600</v>
      </c>
      <c r="D15" s="8">
        <f>C15</f>
        <v>600</v>
      </c>
      <c r="E15" s="8">
        <v>8726</v>
      </c>
      <c r="F15" s="6">
        <v>4</v>
      </c>
      <c r="G15" s="6">
        <v>2</v>
      </c>
      <c r="H15" s="9">
        <v>10631</v>
      </c>
      <c r="I15" s="9">
        <v>12846</v>
      </c>
      <c r="J15" s="6">
        <v>1</v>
      </c>
      <c r="K15" s="6">
        <v>0</v>
      </c>
      <c r="L15" s="6">
        <v>0</v>
      </c>
      <c r="M15" s="6">
        <v>1</v>
      </c>
      <c r="N15" s="10" t="s">
        <v>35</v>
      </c>
    </row>
    <row r="16" spans="1:14" ht="14.25">
      <c r="A16" s="6">
        <v>11</v>
      </c>
      <c r="B16" s="7" t="s">
        <v>36</v>
      </c>
      <c r="C16" s="8">
        <v>413.3</v>
      </c>
      <c r="D16" s="8">
        <f>C16*2</f>
        <v>826.6</v>
      </c>
      <c r="E16" s="8">
        <v>8287.7999999999993</v>
      </c>
      <c r="F16" s="6">
        <v>12</v>
      </c>
      <c r="G16" s="6">
        <v>7</v>
      </c>
      <c r="H16" s="9">
        <v>8586.6</v>
      </c>
      <c r="I16" s="9">
        <v>22146.3</v>
      </c>
      <c r="J16" s="6">
        <v>2</v>
      </c>
      <c r="K16" s="6">
        <v>1</v>
      </c>
      <c r="L16" s="6">
        <v>3</v>
      </c>
      <c r="M16" s="6">
        <v>1</v>
      </c>
      <c r="N16" s="10" t="s">
        <v>37</v>
      </c>
    </row>
    <row r="17" spans="1:14" ht="25.5">
      <c r="A17" s="6">
        <v>12</v>
      </c>
      <c r="B17" s="7" t="s">
        <v>38</v>
      </c>
      <c r="C17" s="8">
        <v>169.2</v>
      </c>
      <c r="D17" s="8">
        <v>500</v>
      </c>
      <c r="E17" s="8">
        <v>8266</v>
      </c>
      <c r="F17" s="6">
        <v>14</v>
      </c>
      <c r="G17" s="6">
        <v>13</v>
      </c>
      <c r="H17" s="9">
        <v>17304.5</v>
      </c>
      <c r="I17" s="9">
        <v>22304.5</v>
      </c>
      <c r="J17" s="6">
        <v>0</v>
      </c>
      <c r="K17" s="6">
        <v>1</v>
      </c>
      <c r="L17" s="6">
        <v>10</v>
      </c>
      <c r="M17" s="6">
        <v>2</v>
      </c>
      <c r="N17" s="10" t="s">
        <v>39</v>
      </c>
    </row>
    <row r="18" spans="1:14" ht="25.5">
      <c r="A18" s="6">
        <v>13</v>
      </c>
      <c r="B18" s="7" t="s">
        <v>40</v>
      </c>
      <c r="C18" s="8">
        <v>86.5</v>
      </c>
      <c r="D18" s="8">
        <v>1000</v>
      </c>
      <c r="E18" s="8">
        <v>7350</v>
      </c>
      <c r="F18" s="6">
        <v>4</v>
      </c>
      <c r="G18" s="6">
        <v>2</v>
      </c>
      <c r="H18" s="9">
        <v>7436.5</v>
      </c>
      <c r="I18" s="9">
        <v>16392.5</v>
      </c>
      <c r="J18" s="6">
        <v>1</v>
      </c>
      <c r="K18" s="6">
        <v>0</v>
      </c>
      <c r="L18" s="6">
        <v>0</v>
      </c>
      <c r="M18" s="6">
        <v>1</v>
      </c>
      <c r="N18" s="10" t="s">
        <v>41</v>
      </c>
    </row>
    <row r="19" spans="1:14" ht="25.5">
      <c r="A19" s="6">
        <v>14</v>
      </c>
      <c r="B19" s="7" t="s">
        <v>42</v>
      </c>
      <c r="C19" s="8">
        <v>2098.1999999999998</v>
      </c>
      <c r="D19" s="8">
        <f>C19</f>
        <v>2098.1999999999998</v>
      </c>
      <c r="E19" s="8">
        <v>7206.5</v>
      </c>
      <c r="F19" s="6">
        <v>3</v>
      </c>
      <c r="G19" s="6">
        <v>2</v>
      </c>
      <c r="H19" s="9">
        <v>4853.8</v>
      </c>
      <c r="I19" s="9">
        <v>12060.4</v>
      </c>
      <c r="J19" s="6">
        <v>1</v>
      </c>
      <c r="K19" s="6">
        <v>0</v>
      </c>
      <c r="L19" s="6">
        <v>1</v>
      </c>
      <c r="M19" s="6">
        <v>0</v>
      </c>
      <c r="N19" s="10" t="s">
        <v>43</v>
      </c>
    </row>
    <row r="20" spans="1:14" ht="25.5">
      <c r="A20" s="6">
        <v>15</v>
      </c>
      <c r="B20" s="7" t="s">
        <v>44</v>
      </c>
      <c r="C20" s="8">
        <v>611</v>
      </c>
      <c r="D20" s="8">
        <f>C20*2</f>
        <v>1222</v>
      </c>
      <c r="E20" s="8">
        <v>7122</v>
      </c>
      <c r="F20" s="6">
        <v>4</v>
      </c>
      <c r="G20" s="6">
        <v>2</v>
      </c>
      <c r="H20" s="9">
        <v>7733</v>
      </c>
      <c r="I20" s="9">
        <v>12793</v>
      </c>
      <c r="J20" s="6">
        <v>0</v>
      </c>
      <c r="K20" s="6">
        <v>2</v>
      </c>
      <c r="L20" s="6">
        <v>0</v>
      </c>
      <c r="M20" s="6">
        <v>0</v>
      </c>
      <c r="N20" s="11" t="s">
        <v>45</v>
      </c>
    </row>
    <row r="21" spans="1:14" ht="25.5">
      <c r="A21" s="6">
        <v>16</v>
      </c>
      <c r="B21" s="7" t="s">
        <v>46</v>
      </c>
      <c r="C21" s="8">
        <v>92</v>
      </c>
      <c r="D21" s="8">
        <v>500</v>
      </c>
      <c r="E21" s="8">
        <v>7001</v>
      </c>
      <c r="F21" s="6">
        <v>7</v>
      </c>
      <c r="G21" s="6">
        <v>6</v>
      </c>
      <c r="H21" s="9">
        <v>9185.6</v>
      </c>
      <c r="I21" s="9">
        <v>9718.6</v>
      </c>
      <c r="J21" s="6">
        <v>1</v>
      </c>
      <c r="K21" s="6">
        <v>1</v>
      </c>
      <c r="L21" s="6">
        <v>0</v>
      </c>
      <c r="M21" s="6">
        <v>4</v>
      </c>
      <c r="N21" s="10" t="s">
        <v>47</v>
      </c>
    </row>
    <row r="22" spans="1:14" ht="14.25">
      <c r="A22" s="6">
        <v>17</v>
      </c>
      <c r="B22" s="7" t="s">
        <v>48</v>
      </c>
      <c r="C22" s="8">
        <v>351</v>
      </c>
      <c r="D22" s="8">
        <f>C22*2</f>
        <v>702</v>
      </c>
      <c r="E22" s="8">
        <v>6285.7</v>
      </c>
      <c r="F22" s="6">
        <v>4</v>
      </c>
      <c r="G22" s="6">
        <v>2</v>
      </c>
      <c r="H22" s="9">
        <v>4080.5</v>
      </c>
      <c r="I22" s="9">
        <v>15172.4</v>
      </c>
      <c r="J22" s="6">
        <v>0</v>
      </c>
      <c r="K22" s="6">
        <v>1</v>
      </c>
      <c r="L22" s="6">
        <v>0</v>
      </c>
      <c r="M22" s="6">
        <v>1</v>
      </c>
      <c r="N22" s="11" t="s">
        <v>49</v>
      </c>
    </row>
    <row r="23" spans="1:14" ht="25.5">
      <c r="A23" s="6">
        <v>18</v>
      </c>
      <c r="B23" s="7" t="s">
        <v>50</v>
      </c>
      <c r="C23" s="8">
        <v>83.9</v>
      </c>
      <c r="D23" s="8">
        <v>500</v>
      </c>
      <c r="E23" s="8">
        <v>6192</v>
      </c>
      <c r="F23" s="6">
        <v>6</v>
      </c>
      <c r="G23" s="6">
        <v>4</v>
      </c>
      <c r="H23" s="9">
        <v>12958</v>
      </c>
      <c r="I23" s="9">
        <v>13316.9</v>
      </c>
      <c r="J23" s="6">
        <v>3</v>
      </c>
      <c r="K23" s="6">
        <v>1</v>
      </c>
      <c r="L23" s="6">
        <v>0</v>
      </c>
      <c r="M23" s="6">
        <v>0</v>
      </c>
      <c r="N23" s="10" t="s">
        <v>51</v>
      </c>
    </row>
    <row r="24" spans="1:14" ht="25.5">
      <c r="A24" s="6">
        <v>19</v>
      </c>
      <c r="B24" s="7" t="s">
        <v>52</v>
      </c>
      <c r="C24" s="8">
        <v>106</v>
      </c>
      <c r="D24" s="8">
        <v>500</v>
      </c>
      <c r="E24" s="8">
        <v>6150</v>
      </c>
      <c r="F24" s="6">
        <v>8</v>
      </c>
      <c r="G24" s="6">
        <v>5</v>
      </c>
      <c r="H24" s="9">
        <v>11322</v>
      </c>
      <c r="I24" s="9">
        <v>15559</v>
      </c>
      <c r="J24" s="6">
        <v>5</v>
      </c>
      <c r="K24" s="6">
        <v>0</v>
      </c>
      <c r="L24" s="6">
        <v>0</v>
      </c>
      <c r="M24" s="6">
        <v>0</v>
      </c>
      <c r="N24" s="10" t="s">
        <v>53</v>
      </c>
    </row>
    <row r="25" spans="1:14" ht="25.5">
      <c r="A25" s="6">
        <v>20</v>
      </c>
      <c r="B25" s="7" t="s">
        <v>54</v>
      </c>
      <c r="C25" s="8">
        <v>5304</v>
      </c>
      <c r="D25" s="8">
        <v>1000</v>
      </c>
      <c r="E25" s="8">
        <v>5665</v>
      </c>
      <c r="F25" s="6">
        <v>3</v>
      </c>
      <c r="G25" s="6">
        <v>3</v>
      </c>
      <c r="H25" s="9">
        <v>16529</v>
      </c>
      <c r="I25" s="9">
        <v>16529</v>
      </c>
      <c r="J25" s="6">
        <v>2</v>
      </c>
      <c r="K25" s="6">
        <v>0</v>
      </c>
      <c r="L25" s="6">
        <v>1</v>
      </c>
      <c r="M25" s="6">
        <v>0</v>
      </c>
      <c r="N25" s="10" t="s">
        <v>55</v>
      </c>
    </row>
    <row r="26" spans="1:14" ht="25.5">
      <c r="A26" s="6">
        <v>21</v>
      </c>
      <c r="B26" s="7" t="s">
        <v>56</v>
      </c>
      <c r="C26" s="8">
        <v>369.5</v>
      </c>
      <c r="D26" s="8">
        <f>C26*2</f>
        <v>739</v>
      </c>
      <c r="E26" s="8">
        <v>5434.4</v>
      </c>
      <c r="F26" s="6">
        <v>6</v>
      </c>
      <c r="G26" s="6">
        <v>5</v>
      </c>
      <c r="H26" s="9">
        <v>12424.4</v>
      </c>
      <c r="I26" s="9">
        <v>15324.4</v>
      </c>
      <c r="J26" s="6">
        <v>3</v>
      </c>
      <c r="K26" s="6">
        <v>0</v>
      </c>
      <c r="L26" s="6">
        <v>1</v>
      </c>
      <c r="M26" s="6">
        <v>1</v>
      </c>
      <c r="N26" s="10" t="s">
        <v>57</v>
      </c>
    </row>
    <row r="27" spans="1:14" ht="14.25">
      <c r="A27" s="6">
        <v>22</v>
      </c>
      <c r="B27" s="7" t="s">
        <v>58</v>
      </c>
      <c r="C27" s="8">
        <v>163</v>
      </c>
      <c r="D27" s="8">
        <v>500</v>
      </c>
      <c r="E27" s="8">
        <v>5367.4</v>
      </c>
      <c r="F27" s="6">
        <v>6</v>
      </c>
      <c r="G27" s="6">
        <v>4</v>
      </c>
      <c r="H27" s="9">
        <v>9549.4</v>
      </c>
      <c r="I27" s="9">
        <v>15204</v>
      </c>
      <c r="J27" s="6">
        <v>1</v>
      </c>
      <c r="K27" s="6">
        <v>2</v>
      </c>
      <c r="L27" s="6">
        <v>1</v>
      </c>
      <c r="M27" s="6">
        <v>0</v>
      </c>
      <c r="N27" s="11" t="s">
        <v>59</v>
      </c>
    </row>
    <row r="28" spans="1:14" ht="25.5">
      <c r="A28" s="6">
        <v>23</v>
      </c>
      <c r="B28" s="7" t="s">
        <v>60</v>
      </c>
      <c r="C28" s="8">
        <v>94.1</v>
      </c>
      <c r="D28" s="8">
        <v>300</v>
      </c>
      <c r="E28" s="8">
        <v>5264</v>
      </c>
      <c r="F28" s="6">
        <v>9</v>
      </c>
      <c r="G28" s="6">
        <v>3</v>
      </c>
      <c r="H28" s="9">
        <v>8140</v>
      </c>
      <c r="I28" s="9">
        <v>14416.1</v>
      </c>
      <c r="J28" s="6">
        <v>1</v>
      </c>
      <c r="K28" s="6">
        <v>1</v>
      </c>
      <c r="L28" s="6">
        <v>0</v>
      </c>
      <c r="M28" s="6">
        <v>1</v>
      </c>
      <c r="N28" s="10" t="s">
        <v>61</v>
      </c>
    </row>
    <row r="29" spans="1:14" ht="14.25">
      <c r="A29" s="6">
        <v>24</v>
      </c>
      <c r="B29" s="7" t="s">
        <v>62</v>
      </c>
      <c r="C29" s="8">
        <v>3161.5</v>
      </c>
      <c r="D29" s="8">
        <v>500</v>
      </c>
      <c r="E29" s="8">
        <v>5160</v>
      </c>
      <c r="F29" s="6">
        <v>2</v>
      </c>
      <c r="G29" s="6">
        <v>1</v>
      </c>
      <c r="H29" s="9">
        <v>3161.5</v>
      </c>
      <c r="I29" s="9">
        <v>8321.5</v>
      </c>
      <c r="J29" s="6">
        <v>0</v>
      </c>
      <c r="K29" s="6">
        <v>1</v>
      </c>
      <c r="L29" s="6">
        <v>0</v>
      </c>
      <c r="M29" s="6">
        <v>0</v>
      </c>
      <c r="N29" s="10" t="s">
        <v>63</v>
      </c>
    </row>
    <row r="30" spans="1:14" ht="25.5">
      <c r="A30" s="6">
        <v>25</v>
      </c>
      <c r="B30" s="7" t="s">
        <v>64</v>
      </c>
      <c r="C30" s="8">
        <v>320</v>
      </c>
      <c r="D30" s="8">
        <f>C30*2</f>
        <v>640</v>
      </c>
      <c r="E30" s="8">
        <v>5062</v>
      </c>
      <c r="F30" s="6">
        <v>3</v>
      </c>
      <c r="G30" s="6">
        <v>2</v>
      </c>
      <c r="H30" s="9">
        <v>1128</v>
      </c>
      <c r="I30" s="9">
        <v>6190</v>
      </c>
      <c r="J30" s="6">
        <v>1</v>
      </c>
      <c r="K30" s="6">
        <v>0</v>
      </c>
      <c r="L30" s="6">
        <v>1</v>
      </c>
      <c r="M30" s="6">
        <v>0</v>
      </c>
      <c r="N30" s="10" t="s">
        <v>65</v>
      </c>
    </row>
    <row r="31" spans="1:14" ht="14.25">
      <c r="A31" s="6">
        <v>26</v>
      </c>
      <c r="B31" s="7" t="s">
        <v>66</v>
      </c>
      <c r="C31" s="8">
        <v>500</v>
      </c>
      <c r="D31" s="8">
        <f>C31*2</f>
        <v>1000</v>
      </c>
      <c r="E31" s="8">
        <v>5000</v>
      </c>
      <c r="F31" s="6">
        <v>3</v>
      </c>
      <c r="G31" s="6">
        <v>3</v>
      </c>
      <c r="H31" s="9">
        <v>10000</v>
      </c>
      <c r="I31" s="9">
        <v>10000</v>
      </c>
      <c r="J31" s="6">
        <v>0</v>
      </c>
      <c r="K31" s="6">
        <v>0</v>
      </c>
      <c r="L31" s="6">
        <v>1</v>
      </c>
      <c r="M31" s="6">
        <v>2</v>
      </c>
      <c r="N31" s="10" t="s">
        <v>67</v>
      </c>
    </row>
    <row r="32" spans="1:14" ht="25.5">
      <c r="A32" s="6">
        <v>27</v>
      </c>
      <c r="B32" s="7" t="s">
        <v>68</v>
      </c>
      <c r="C32" s="8">
        <v>71.8</v>
      </c>
      <c r="D32" s="8">
        <v>300</v>
      </c>
      <c r="E32" s="8">
        <v>4680</v>
      </c>
      <c r="F32" s="6">
        <v>10</v>
      </c>
      <c r="G32" s="6">
        <v>7</v>
      </c>
      <c r="H32" s="9">
        <v>5847.8</v>
      </c>
      <c r="I32" s="9">
        <v>7748.8</v>
      </c>
      <c r="J32" s="6">
        <v>1</v>
      </c>
      <c r="K32" s="6">
        <v>2</v>
      </c>
      <c r="L32" s="6">
        <v>2</v>
      </c>
      <c r="M32" s="6">
        <v>2</v>
      </c>
      <c r="N32" s="10" t="s">
        <v>69</v>
      </c>
    </row>
    <row r="33" spans="1:14" ht="25.5">
      <c r="A33" s="6">
        <v>28</v>
      </c>
      <c r="B33" s="7" t="s">
        <v>70</v>
      </c>
      <c r="C33" s="8">
        <v>1050</v>
      </c>
      <c r="D33" s="8">
        <f>C33</f>
        <v>1050</v>
      </c>
      <c r="E33" s="8">
        <v>4510</v>
      </c>
      <c r="F33" s="6">
        <v>4</v>
      </c>
      <c r="G33" s="6">
        <v>4</v>
      </c>
      <c r="H33" s="9">
        <v>8720</v>
      </c>
      <c r="I33" s="9">
        <v>8720</v>
      </c>
      <c r="J33" s="6">
        <v>0</v>
      </c>
      <c r="K33" s="6">
        <v>3</v>
      </c>
      <c r="L33" s="6">
        <v>0</v>
      </c>
      <c r="M33" s="6">
        <v>1</v>
      </c>
      <c r="N33" s="10" t="s">
        <v>71</v>
      </c>
    </row>
    <row r="34" spans="1:14" ht="25.5">
      <c r="A34" s="6">
        <v>29</v>
      </c>
      <c r="B34" s="7" t="s">
        <v>72</v>
      </c>
      <c r="C34" s="8">
        <v>775.5</v>
      </c>
      <c r="D34" s="8">
        <f>C34</f>
        <v>775.5</v>
      </c>
      <c r="E34" s="8">
        <v>4067</v>
      </c>
      <c r="F34" s="6">
        <v>3</v>
      </c>
      <c r="G34" s="6">
        <v>1</v>
      </c>
      <c r="H34" s="9">
        <v>4067</v>
      </c>
      <c r="I34" s="9">
        <v>7842.5</v>
      </c>
      <c r="J34" s="6">
        <v>0</v>
      </c>
      <c r="K34" s="6">
        <v>1</v>
      </c>
      <c r="L34" s="6">
        <v>0</v>
      </c>
      <c r="M34" s="6">
        <v>0</v>
      </c>
      <c r="N34" s="10" t="s">
        <v>73</v>
      </c>
    </row>
    <row r="35" spans="1:14" ht="14.25">
      <c r="A35" s="6">
        <v>30</v>
      </c>
      <c r="B35" s="7" t="s">
        <v>74</v>
      </c>
      <c r="C35" s="8">
        <v>80</v>
      </c>
      <c r="D35" s="8">
        <v>300</v>
      </c>
      <c r="E35" s="8">
        <v>4000</v>
      </c>
      <c r="F35" s="6">
        <v>16</v>
      </c>
      <c r="G35" s="6">
        <v>11</v>
      </c>
      <c r="H35" s="9">
        <v>15200.2</v>
      </c>
      <c r="I35" s="9">
        <v>23190</v>
      </c>
      <c r="J35" s="6">
        <v>1</v>
      </c>
      <c r="K35" s="6">
        <v>4</v>
      </c>
      <c r="L35" s="6">
        <v>4</v>
      </c>
      <c r="M35" s="6">
        <v>2</v>
      </c>
      <c r="N35" s="10" t="s">
        <v>75</v>
      </c>
    </row>
    <row r="36" spans="1:14" ht="14.25">
      <c r="A36" s="6">
        <v>31</v>
      </c>
      <c r="B36" s="7" t="s">
        <v>76</v>
      </c>
      <c r="C36" s="8">
        <v>3230</v>
      </c>
      <c r="D36" s="8">
        <v>500</v>
      </c>
      <c r="E36" s="8">
        <v>3900</v>
      </c>
      <c r="F36" s="6">
        <v>2</v>
      </c>
      <c r="G36" s="6">
        <v>2</v>
      </c>
      <c r="H36" s="9">
        <v>7130</v>
      </c>
      <c r="I36" s="9">
        <v>7130</v>
      </c>
      <c r="J36" s="6">
        <v>1</v>
      </c>
      <c r="K36" s="6">
        <v>1</v>
      </c>
      <c r="L36" s="6">
        <v>0</v>
      </c>
      <c r="M36" s="6">
        <v>0</v>
      </c>
      <c r="N36" s="10" t="s">
        <v>77</v>
      </c>
    </row>
    <row r="37" spans="1:14" ht="25.5">
      <c r="A37" s="6">
        <v>32</v>
      </c>
      <c r="B37" s="7" t="s">
        <v>78</v>
      </c>
      <c r="C37" s="8">
        <v>537.1</v>
      </c>
      <c r="D37" s="8">
        <v>500</v>
      </c>
      <c r="E37" s="8">
        <v>3890</v>
      </c>
      <c r="F37" s="6">
        <v>6</v>
      </c>
      <c r="G37" s="6">
        <v>5</v>
      </c>
      <c r="H37" s="9">
        <v>9075</v>
      </c>
      <c r="I37" s="9">
        <v>9612.1</v>
      </c>
      <c r="J37" s="6">
        <v>4</v>
      </c>
      <c r="K37" s="6">
        <v>1</v>
      </c>
      <c r="L37" s="6">
        <v>0</v>
      </c>
      <c r="M37" s="6">
        <v>0</v>
      </c>
      <c r="N37" s="10" t="s">
        <v>79</v>
      </c>
    </row>
    <row r="38" spans="1:14" ht="14.25">
      <c r="A38" s="6">
        <v>33</v>
      </c>
      <c r="B38" s="7" t="s">
        <v>80</v>
      </c>
      <c r="C38" s="8">
        <v>110</v>
      </c>
      <c r="D38" s="8">
        <f>C38*2</f>
        <v>220</v>
      </c>
      <c r="E38" s="8">
        <v>3842</v>
      </c>
      <c r="F38" s="6">
        <v>4</v>
      </c>
      <c r="G38" s="6">
        <v>4</v>
      </c>
      <c r="H38" s="9">
        <v>6033</v>
      </c>
      <c r="I38" s="9">
        <v>6033</v>
      </c>
      <c r="J38" s="6">
        <v>1</v>
      </c>
      <c r="K38" s="6">
        <v>1</v>
      </c>
      <c r="L38" s="6">
        <v>2</v>
      </c>
      <c r="M38" s="6">
        <v>0</v>
      </c>
      <c r="N38" s="11" t="s">
        <v>81</v>
      </c>
    </row>
    <row r="39" spans="1:14" ht="25.5">
      <c r="A39" s="6">
        <v>34</v>
      </c>
      <c r="B39" s="7" t="s">
        <v>82</v>
      </c>
      <c r="C39" s="8">
        <v>23</v>
      </c>
      <c r="D39" s="8">
        <v>200</v>
      </c>
      <c r="E39" s="8">
        <v>3781</v>
      </c>
      <c r="F39" s="6">
        <v>13</v>
      </c>
      <c r="G39" s="6">
        <v>6</v>
      </c>
      <c r="H39" s="9">
        <v>5981.3</v>
      </c>
      <c r="I39" s="9">
        <v>11626.5</v>
      </c>
      <c r="J39" s="6">
        <v>5</v>
      </c>
      <c r="K39" s="6">
        <v>1</v>
      </c>
      <c r="L39" s="6">
        <v>0</v>
      </c>
      <c r="M39" s="6">
        <v>0</v>
      </c>
      <c r="N39" s="10" t="s">
        <v>83</v>
      </c>
    </row>
    <row r="40" spans="1:14" ht="14.25">
      <c r="A40" s="6">
        <v>35</v>
      </c>
      <c r="B40" s="7" t="s">
        <v>84</v>
      </c>
      <c r="C40" s="8">
        <v>3729.5</v>
      </c>
      <c r="D40" s="8">
        <v>300</v>
      </c>
      <c r="E40" s="8">
        <v>3729.5</v>
      </c>
      <c r="F40" s="6">
        <v>1</v>
      </c>
      <c r="G40" s="6">
        <v>1</v>
      </c>
      <c r="H40" s="9">
        <v>3729.5</v>
      </c>
      <c r="I40" s="9">
        <v>3729.5</v>
      </c>
      <c r="J40" s="6">
        <v>0</v>
      </c>
      <c r="K40" s="6">
        <v>0</v>
      </c>
      <c r="L40" s="6">
        <v>0</v>
      </c>
      <c r="M40" s="6">
        <v>1</v>
      </c>
      <c r="N40" s="10" t="s">
        <v>85</v>
      </c>
    </row>
    <row r="41" spans="1:14" ht="25.5">
      <c r="A41" s="6">
        <v>36</v>
      </c>
      <c r="B41" s="7" t="s">
        <v>86</v>
      </c>
      <c r="C41" s="8">
        <v>177.5</v>
      </c>
      <c r="D41" s="8">
        <f>C41*2</f>
        <v>355</v>
      </c>
      <c r="E41" s="8">
        <v>3675</v>
      </c>
      <c r="F41" s="6">
        <v>12</v>
      </c>
      <c r="G41" s="6">
        <v>6</v>
      </c>
      <c r="H41" s="9">
        <v>8580</v>
      </c>
      <c r="I41" s="9">
        <v>16562</v>
      </c>
      <c r="J41" s="6">
        <v>2</v>
      </c>
      <c r="K41" s="6">
        <v>0</v>
      </c>
      <c r="L41" s="6">
        <v>1</v>
      </c>
      <c r="M41" s="6">
        <v>3</v>
      </c>
      <c r="N41" s="10" t="s">
        <v>87</v>
      </c>
    </row>
    <row r="42" spans="1:14" ht="25.5">
      <c r="A42" s="6">
        <v>37</v>
      </c>
      <c r="B42" s="7" t="s">
        <v>88</v>
      </c>
      <c r="C42" s="8">
        <v>265</v>
      </c>
      <c r="D42" s="8">
        <f>C42</f>
        <v>265</v>
      </c>
      <c r="E42" s="8">
        <v>3675</v>
      </c>
      <c r="F42" s="6">
        <v>11</v>
      </c>
      <c r="G42" s="6">
        <v>6</v>
      </c>
      <c r="H42" s="9">
        <v>8193</v>
      </c>
      <c r="I42" s="9">
        <v>18014.5</v>
      </c>
      <c r="J42" s="6">
        <v>0</v>
      </c>
      <c r="K42" s="6">
        <v>5</v>
      </c>
      <c r="L42" s="6">
        <v>0</v>
      </c>
      <c r="M42" s="6">
        <v>1</v>
      </c>
      <c r="N42" s="10" t="s">
        <v>89</v>
      </c>
    </row>
    <row r="43" spans="1:14" ht="25.5">
      <c r="A43" s="6">
        <v>38</v>
      </c>
      <c r="B43" s="7" t="s">
        <v>90</v>
      </c>
      <c r="C43" s="8">
        <v>132</v>
      </c>
      <c r="D43" s="8">
        <v>300</v>
      </c>
      <c r="E43" s="8">
        <v>3622.4</v>
      </c>
      <c r="F43" s="6">
        <v>22</v>
      </c>
      <c r="G43" s="6">
        <v>9</v>
      </c>
      <c r="H43" s="9">
        <v>8834.4</v>
      </c>
      <c r="I43" s="9">
        <v>28151</v>
      </c>
      <c r="J43" s="6">
        <v>4</v>
      </c>
      <c r="K43" s="6">
        <v>0</v>
      </c>
      <c r="L43" s="6">
        <v>2</v>
      </c>
      <c r="M43" s="6">
        <v>3</v>
      </c>
      <c r="N43" s="10" t="s">
        <v>91</v>
      </c>
    </row>
    <row r="44" spans="1:14" ht="25.5">
      <c r="A44" s="6">
        <v>39</v>
      </c>
      <c r="B44" s="7" t="s">
        <v>92</v>
      </c>
      <c r="C44" s="8">
        <v>73.7</v>
      </c>
      <c r="D44" s="8">
        <v>100</v>
      </c>
      <c r="E44" s="8">
        <v>3525</v>
      </c>
      <c r="F44" s="6">
        <v>8</v>
      </c>
      <c r="G44" s="6">
        <v>6</v>
      </c>
      <c r="H44" s="9">
        <v>7581.7</v>
      </c>
      <c r="I44" s="9">
        <v>8221.7000000000007</v>
      </c>
      <c r="J44" s="6">
        <v>4</v>
      </c>
      <c r="K44" s="6">
        <v>0</v>
      </c>
      <c r="L44" s="6">
        <v>1</v>
      </c>
      <c r="M44" s="6">
        <v>1</v>
      </c>
      <c r="N44" s="10" t="s">
        <v>93</v>
      </c>
    </row>
    <row r="45" spans="1:14" ht="14.25">
      <c r="A45" s="6">
        <v>40</v>
      </c>
      <c r="B45" s="7" t="s">
        <v>94</v>
      </c>
      <c r="C45" s="8">
        <v>3511</v>
      </c>
      <c r="D45" s="8">
        <v>1000</v>
      </c>
      <c r="E45" s="8">
        <v>3511</v>
      </c>
      <c r="F45" s="6">
        <v>1</v>
      </c>
      <c r="G45" s="6">
        <v>1</v>
      </c>
      <c r="H45" s="9">
        <v>3511</v>
      </c>
      <c r="I45" s="9">
        <v>3511</v>
      </c>
      <c r="J45" s="6">
        <v>0</v>
      </c>
      <c r="K45" s="6">
        <v>1</v>
      </c>
      <c r="L45" s="6">
        <v>0</v>
      </c>
      <c r="M45" s="6">
        <v>0</v>
      </c>
      <c r="N45" s="10" t="s">
        <v>95</v>
      </c>
    </row>
    <row r="46" spans="1:14" ht="14.25">
      <c r="A46" s="6">
        <v>41</v>
      </c>
      <c r="B46" s="7" t="s">
        <v>96</v>
      </c>
      <c r="C46" s="8">
        <v>550</v>
      </c>
      <c r="D46" s="8">
        <v>300</v>
      </c>
      <c r="E46" s="8">
        <v>3150</v>
      </c>
      <c r="F46" s="6">
        <v>2</v>
      </c>
      <c r="G46" s="6">
        <v>2</v>
      </c>
      <c r="H46" s="9">
        <v>3700</v>
      </c>
      <c r="I46" s="9">
        <v>3700</v>
      </c>
      <c r="J46" s="6">
        <v>1</v>
      </c>
      <c r="K46" s="6">
        <v>1</v>
      </c>
      <c r="L46" s="6">
        <v>0</v>
      </c>
      <c r="M46" s="6">
        <v>0</v>
      </c>
      <c r="N46" s="10" t="s">
        <v>97</v>
      </c>
    </row>
    <row r="47" spans="1:14" ht="14.25">
      <c r="A47" s="6">
        <v>42</v>
      </c>
      <c r="B47" s="7" t="s">
        <v>98</v>
      </c>
      <c r="C47" s="8">
        <v>2525</v>
      </c>
      <c r="D47" s="8">
        <v>300</v>
      </c>
      <c r="E47" s="8">
        <v>3062</v>
      </c>
      <c r="F47" s="6">
        <v>2</v>
      </c>
      <c r="G47" s="6">
        <v>2</v>
      </c>
      <c r="H47" s="9">
        <v>5587</v>
      </c>
      <c r="I47" s="9">
        <v>5587</v>
      </c>
      <c r="J47" s="6">
        <v>0</v>
      </c>
      <c r="K47" s="6">
        <v>0</v>
      </c>
      <c r="L47" s="6">
        <v>1</v>
      </c>
      <c r="M47" s="6">
        <v>1</v>
      </c>
      <c r="N47" s="10" t="s">
        <v>99</v>
      </c>
    </row>
    <row r="48" spans="1:14" ht="25.5">
      <c r="A48" s="6">
        <v>43</v>
      </c>
      <c r="B48" s="7" t="s">
        <v>100</v>
      </c>
      <c r="C48" s="8">
        <v>1450</v>
      </c>
      <c r="D48" s="8">
        <v>300</v>
      </c>
      <c r="E48" s="8">
        <v>3000</v>
      </c>
      <c r="F48" s="6">
        <v>3</v>
      </c>
      <c r="G48" s="6">
        <v>3</v>
      </c>
      <c r="H48" s="9">
        <v>6450</v>
      </c>
      <c r="I48" s="9">
        <v>6450</v>
      </c>
      <c r="J48" s="6">
        <v>1</v>
      </c>
      <c r="K48" s="6">
        <v>1</v>
      </c>
      <c r="L48" s="6">
        <v>1</v>
      </c>
      <c r="M48" s="6">
        <v>0</v>
      </c>
      <c r="N48" s="10" t="s">
        <v>101</v>
      </c>
    </row>
    <row r="49" spans="1:14" ht="25.5">
      <c r="A49" s="6">
        <v>44</v>
      </c>
      <c r="B49" s="7" t="s">
        <v>102</v>
      </c>
      <c r="C49" s="8">
        <v>195</v>
      </c>
      <c r="D49" s="8">
        <v>300</v>
      </c>
      <c r="E49" s="8">
        <v>3000</v>
      </c>
      <c r="F49" s="6">
        <v>11</v>
      </c>
      <c r="G49" s="6">
        <v>7</v>
      </c>
      <c r="H49" s="9">
        <v>7526</v>
      </c>
      <c r="I49" s="9">
        <v>16726.5</v>
      </c>
      <c r="J49" s="6">
        <v>0</v>
      </c>
      <c r="K49" s="6">
        <v>3</v>
      </c>
      <c r="L49" s="6">
        <v>2</v>
      </c>
      <c r="M49" s="6">
        <v>2</v>
      </c>
      <c r="N49" s="10" t="s">
        <v>103</v>
      </c>
    </row>
    <row r="50" spans="1:14" ht="14.25">
      <c r="A50" s="6">
        <v>45</v>
      </c>
      <c r="B50" s="7" t="s">
        <v>104</v>
      </c>
      <c r="C50" s="8">
        <v>475</v>
      </c>
      <c r="D50" s="8">
        <v>300</v>
      </c>
      <c r="E50" s="8">
        <v>2990</v>
      </c>
      <c r="F50" s="6">
        <v>5</v>
      </c>
      <c r="G50" s="6">
        <v>3</v>
      </c>
      <c r="H50" s="9">
        <v>2815</v>
      </c>
      <c r="I50" s="9">
        <v>6325</v>
      </c>
      <c r="J50" s="6">
        <v>2</v>
      </c>
      <c r="K50" s="6">
        <v>0</v>
      </c>
      <c r="L50" s="6">
        <v>0</v>
      </c>
      <c r="M50" s="6">
        <v>1</v>
      </c>
      <c r="N50" s="10" t="s">
        <v>105</v>
      </c>
    </row>
    <row r="51" spans="1:14" ht="14.25">
      <c r="A51" s="6">
        <v>46</v>
      </c>
      <c r="B51" s="7" t="s">
        <v>106</v>
      </c>
      <c r="C51" s="8">
        <v>2987.4</v>
      </c>
      <c r="D51" s="8">
        <v>300</v>
      </c>
      <c r="E51" s="8">
        <v>2987.4</v>
      </c>
      <c r="F51" s="6">
        <v>1</v>
      </c>
      <c r="G51" s="6">
        <v>1</v>
      </c>
      <c r="H51" s="9">
        <v>2987.4</v>
      </c>
      <c r="I51" s="9">
        <v>2987.4</v>
      </c>
      <c r="J51" s="6">
        <v>0</v>
      </c>
      <c r="K51" s="6">
        <v>0</v>
      </c>
      <c r="L51" s="6">
        <v>0</v>
      </c>
      <c r="M51" s="6">
        <v>1</v>
      </c>
      <c r="N51" s="10" t="s">
        <v>107</v>
      </c>
    </row>
    <row r="52" spans="1:14" ht="25.5">
      <c r="A52" s="6">
        <v>47</v>
      </c>
      <c r="B52" s="7" t="s">
        <v>108</v>
      </c>
      <c r="C52" s="8">
        <v>237.5</v>
      </c>
      <c r="D52" s="8">
        <v>300</v>
      </c>
      <c r="E52" s="8">
        <v>2966</v>
      </c>
      <c r="F52" s="6">
        <v>8</v>
      </c>
      <c r="G52" s="6">
        <v>5</v>
      </c>
      <c r="H52" s="9">
        <v>2761.6</v>
      </c>
      <c r="I52" s="9">
        <v>9493.6</v>
      </c>
      <c r="J52" s="6">
        <v>2</v>
      </c>
      <c r="K52" s="6">
        <v>1</v>
      </c>
      <c r="L52" s="6">
        <v>2</v>
      </c>
      <c r="M52" s="6">
        <v>0</v>
      </c>
      <c r="N52" s="10" t="s">
        <v>109</v>
      </c>
    </row>
    <row r="53" spans="1:14" ht="14.25">
      <c r="A53" s="6">
        <v>48</v>
      </c>
      <c r="B53" s="7" t="s">
        <v>110</v>
      </c>
      <c r="C53" s="8">
        <v>129.5</v>
      </c>
      <c r="D53" s="8">
        <v>300</v>
      </c>
      <c r="E53" s="8">
        <v>2940</v>
      </c>
      <c r="F53" s="6">
        <v>8</v>
      </c>
      <c r="G53" s="6">
        <v>4</v>
      </c>
      <c r="H53" s="9">
        <v>4173.5</v>
      </c>
      <c r="I53" s="9">
        <v>6309</v>
      </c>
      <c r="J53" s="6">
        <v>0</v>
      </c>
      <c r="K53" s="6">
        <v>2</v>
      </c>
      <c r="L53" s="6">
        <v>0</v>
      </c>
      <c r="M53" s="6">
        <v>2</v>
      </c>
      <c r="N53" s="10" t="s">
        <v>111</v>
      </c>
    </row>
    <row r="54" spans="1:14" ht="14.25">
      <c r="A54" s="6">
        <v>49</v>
      </c>
      <c r="B54" s="7" t="s">
        <v>112</v>
      </c>
      <c r="C54" s="8">
        <v>197</v>
      </c>
      <c r="D54" s="8">
        <v>300</v>
      </c>
      <c r="E54" s="8">
        <v>2896</v>
      </c>
      <c r="F54" s="6">
        <v>5</v>
      </c>
      <c r="G54" s="6">
        <v>4</v>
      </c>
      <c r="H54" s="9">
        <v>6079</v>
      </c>
      <c r="I54" s="9">
        <v>6276</v>
      </c>
      <c r="J54" s="6">
        <v>3</v>
      </c>
      <c r="K54" s="6">
        <v>0</v>
      </c>
      <c r="L54" s="6">
        <v>0</v>
      </c>
      <c r="M54" s="6">
        <v>1</v>
      </c>
      <c r="N54" s="11" t="s">
        <v>113</v>
      </c>
    </row>
    <row r="55" spans="1:14" ht="38.25">
      <c r="A55" s="6">
        <v>50</v>
      </c>
      <c r="B55" s="7" t="s">
        <v>114</v>
      </c>
      <c r="C55" s="8">
        <v>295</v>
      </c>
      <c r="D55" s="8">
        <v>300</v>
      </c>
      <c r="E55" s="8">
        <v>2820.5</v>
      </c>
      <c r="F55" s="6">
        <v>6</v>
      </c>
      <c r="G55" s="6">
        <v>4</v>
      </c>
      <c r="H55" s="9">
        <v>5604.1</v>
      </c>
      <c r="I55" s="9">
        <v>6280.1</v>
      </c>
      <c r="J55" s="6">
        <v>0</v>
      </c>
      <c r="K55" s="6">
        <v>4</v>
      </c>
      <c r="L55" s="6">
        <v>0</v>
      </c>
      <c r="M55" s="6">
        <v>0</v>
      </c>
      <c r="N55" s="10" t="s">
        <v>115</v>
      </c>
    </row>
    <row r="56" spans="1:14" ht="25.5">
      <c r="A56" s="6">
        <v>51</v>
      </c>
      <c r="B56" s="7" t="s">
        <v>116</v>
      </c>
      <c r="C56" s="8">
        <v>136</v>
      </c>
      <c r="D56" s="8">
        <v>300</v>
      </c>
      <c r="E56" s="8">
        <v>2780</v>
      </c>
      <c r="F56" s="6">
        <v>5</v>
      </c>
      <c r="G56" s="6">
        <v>4</v>
      </c>
      <c r="H56" s="9">
        <v>5506</v>
      </c>
      <c r="I56" s="9">
        <v>6551</v>
      </c>
      <c r="J56" s="6">
        <v>2</v>
      </c>
      <c r="K56" s="6">
        <v>0</v>
      </c>
      <c r="L56" s="6">
        <v>1</v>
      </c>
      <c r="M56" s="6">
        <v>1</v>
      </c>
      <c r="N56" s="10" t="s">
        <v>117</v>
      </c>
    </row>
    <row r="57" spans="1:14" ht="14.25">
      <c r="A57" s="6">
        <v>52</v>
      </c>
      <c r="B57" s="7" t="s">
        <v>118</v>
      </c>
      <c r="C57" s="8">
        <v>1700</v>
      </c>
      <c r="D57" s="8">
        <v>300</v>
      </c>
      <c r="E57" s="8">
        <v>2679</v>
      </c>
      <c r="F57" s="6">
        <v>2</v>
      </c>
      <c r="G57" s="6">
        <v>1</v>
      </c>
      <c r="H57" s="9">
        <v>2679</v>
      </c>
      <c r="I57" s="9">
        <v>4379</v>
      </c>
      <c r="J57" s="6">
        <v>0</v>
      </c>
      <c r="K57" s="6">
        <v>0</v>
      </c>
      <c r="L57" s="6">
        <v>1</v>
      </c>
      <c r="M57" s="6">
        <v>0</v>
      </c>
      <c r="N57" s="10" t="s">
        <v>119</v>
      </c>
    </row>
    <row r="58" spans="1:14" ht="14.25">
      <c r="A58" s="6">
        <v>53</v>
      </c>
      <c r="B58" s="7" t="s">
        <v>120</v>
      </c>
      <c r="C58" s="8">
        <v>77.5</v>
      </c>
      <c r="D58" s="8">
        <f>C58</f>
        <v>77.5</v>
      </c>
      <c r="E58" s="8">
        <v>2510</v>
      </c>
      <c r="F58" s="6">
        <v>4</v>
      </c>
      <c r="G58" s="6">
        <v>3</v>
      </c>
      <c r="H58" s="9">
        <v>2208.5</v>
      </c>
      <c r="I58" s="9">
        <v>4718.5</v>
      </c>
      <c r="J58" s="6">
        <v>1</v>
      </c>
      <c r="K58" s="6">
        <v>2</v>
      </c>
      <c r="L58" s="6">
        <v>0</v>
      </c>
      <c r="M58" s="6">
        <v>0</v>
      </c>
      <c r="N58" s="10" t="s">
        <v>121</v>
      </c>
    </row>
    <row r="59" spans="1:14" ht="14.25">
      <c r="A59" s="6">
        <v>54</v>
      </c>
      <c r="B59" s="7" t="s">
        <v>122</v>
      </c>
      <c r="C59" s="8">
        <v>71</v>
      </c>
      <c r="D59" s="8">
        <f>C59</f>
        <v>71</v>
      </c>
      <c r="E59" s="8">
        <v>2505</v>
      </c>
      <c r="F59" s="6">
        <v>7</v>
      </c>
      <c r="G59" s="6">
        <v>4</v>
      </c>
      <c r="H59" s="9">
        <v>4876</v>
      </c>
      <c r="I59" s="9">
        <v>8868.5</v>
      </c>
      <c r="J59" s="6">
        <v>2</v>
      </c>
      <c r="K59" s="6">
        <v>1</v>
      </c>
      <c r="L59" s="6">
        <v>0</v>
      </c>
      <c r="M59" s="6">
        <v>1</v>
      </c>
      <c r="N59" s="10" t="s">
        <v>123</v>
      </c>
    </row>
    <row r="60" spans="1:14" ht="14.25">
      <c r="A60" s="6">
        <v>55</v>
      </c>
      <c r="B60" s="7" t="s">
        <v>124</v>
      </c>
      <c r="C60" s="8">
        <v>184</v>
      </c>
      <c r="D60" s="8">
        <f>C60</f>
        <v>184</v>
      </c>
      <c r="E60" s="8">
        <v>2500</v>
      </c>
      <c r="F60" s="6">
        <v>2</v>
      </c>
      <c r="G60" s="6">
        <v>1</v>
      </c>
      <c r="H60" s="9">
        <v>184</v>
      </c>
      <c r="I60" s="9">
        <v>2684</v>
      </c>
      <c r="J60" s="6">
        <v>0</v>
      </c>
      <c r="K60" s="6">
        <v>0</v>
      </c>
      <c r="L60" s="6">
        <v>0</v>
      </c>
      <c r="M60" s="6">
        <v>1</v>
      </c>
      <c r="N60" s="11" t="s">
        <v>125</v>
      </c>
    </row>
    <row r="61" spans="1:14" ht="14.25">
      <c r="A61" s="6">
        <v>56</v>
      </c>
      <c r="B61" s="7" t="s">
        <v>126</v>
      </c>
      <c r="C61" s="8">
        <v>627</v>
      </c>
      <c r="D61" s="8">
        <v>300</v>
      </c>
      <c r="E61" s="8">
        <v>2400</v>
      </c>
      <c r="F61" s="6">
        <v>3</v>
      </c>
      <c r="G61" s="6">
        <v>1</v>
      </c>
      <c r="H61" s="9">
        <v>2362</v>
      </c>
      <c r="I61" s="9">
        <v>5389</v>
      </c>
      <c r="J61" s="6">
        <v>0</v>
      </c>
      <c r="K61" s="6">
        <v>0</v>
      </c>
      <c r="L61" s="6">
        <v>1</v>
      </c>
      <c r="M61" s="6">
        <v>0</v>
      </c>
      <c r="N61" s="11" t="s">
        <v>127</v>
      </c>
    </row>
    <row r="62" spans="1:14" ht="25.5">
      <c r="A62" s="6">
        <v>57</v>
      </c>
      <c r="B62" s="7" t="s">
        <v>128</v>
      </c>
      <c r="C62" s="8">
        <v>101</v>
      </c>
      <c r="D62" s="8">
        <f>C62*2</f>
        <v>202</v>
      </c>
      <c r="E62" s="8">
        <v>2400</v>
      </c>
      <c r="F62" s="6">
        <v>8</v>
      </c>
      <c r="G62" s="6">
        <v>7</v>
      </c>
      <c r="H62" s="9">
        <v>8938.2999999999993</v>
      </c>
      <c r="I62" s="9">
        <v>9943.2999999999993</v>
      </c>
      <c r="J62" s="6">
        <v>2</v>
      </c>
      <c r="K62" s="6">
        <v>1</v>
      </c>
      <c r="L62" s="6">
        <v>1</v>
      </c>
      <c r="M62" s="6">
        <v>3</v>
      </c>
      <c r="N62" s="10" t="s">
        <v>129</v>
      </c>
    </row>
    <row r="63" spans="1:14" ht="14.25">
      <c r="A63" s="6">
        <v>58</v>
      </c>
      <c r="B63" s="7" t="s">
        <v>130</v>
      </c>
      <c r="C63" s="8">
        <v>1500</v>
      </c>
      <c r="D63" s="8">
        <v>300</v>
      </c>
      <c r="E63" s="8">
        <v>2360</v>
      </c>
      <c r="F63" s="6">
        <v>2</v>
      </c>
      <c r="G63" s="6">
        <v>1</v>
      </c>
      <c r="H63" s="9">
        <v>1500</v>
      </c>
      <c r="I63" s="9">
        <v>3860</v>
      </c>
      <c r="J63" s="6">
        <v>0</v>
      </c>
      <c r="K63" s="6">
        <v>0</v>
      </c>
      <c r="L63" s="6">
        <v>1</v>
      </c>
      <c r="M63" s="6">
        <v>0</v>
      </c>
      <c r="N63" s="10" t="s">
        <v>131</v>
      </c>
    </row>
    <row r="64" spans="1:14" ht="14.25">
      <c r="A64" s="6">
        <v>59</v>
      </c>
      <c r="B64" s="7" t="s">
        <v>132</v>
      </c>
      <c r="C64" s="8">
        <v>128.5</v>
      </c>
      <c r="D64" s="8">
        <f>C64</f>
        <v>128.5</v>
      </c>
      <c r="E64" s="8">
        <v>2230</v>
      </c>
      <c r="F64" s="6">
        <v>12</v>
      </c>
      <c r="G64" s="6">
        <v>8</v>
      </c>
      <c r="H64" s="9">
        <v>4375.5</v>
      </c>
      <c r="I64" s="9">
        <v>10336</v>
      </c>
      <c r="J64" s="6">
        <v>0</v>
      </c>
      <c r="K64" s="6">
        <v>4</v>
      </c>
      <c r="L64" s="6">
        <v>2</v>
      </c>
      <c r="M64" s="6">
        <v>2</v>
      </c>
      <c r="N64" s="10" t="s">
        <v>133</v>
      </c>
    </row>
    <row r="65" spans="1:14" ht="25.5">
      <c r="A65" s="6">
        <v>60</v>
      </c>
      <c r="B65" s="7" t="s">
        <v>134</v>
      </c>
      <c r="C65" s="8">
        <v>1268</v>
      </c>
      <c r="D65" s="8">
        <v>300</v>
      </c>
      <c r="E65" s="8">
        <v>2174</v>
      </c>
      <c r="F65" s="6">
        <v>3</v>
      </c>
      <c r="G65" s="6">
        <v>1</v>
      </c>
      <c r="H65" s="9">
        <v>2000</v>
      </c>
      <c r="I65" s="9">
        <v>5442</v>
      </c>
      <c r="J65" s="6">
        <v>0</v>
      </c>
      <c r="K65" s="6">
        <v>0</v>
      </c>
      <c r="L65" s="6">
        <v>0</v>
      </c>
      <c r="M65" s="6">
        <v>1</v>
      </c>
      <c r="N65" s="10" t="s">
        <v>135</v>
      </c>
    </row>
    <row r="66" spans="1:14" ht="25.5">
      <c r="A66" s="6">
        <v>61</v>
      </c>
      <c r="B66" s="7" t="s">
        <v>136</v>
      </c>
      <c r="C66" s="8">
        <v>217.5</v>
      </c>
      <c r="D66" s="8">
        <f>C66</f>
        <v>217.5</v>
      </c>
      <c r="E66" s="8">
        <v>2160</v>
      </c>
      <c r="F66" s="6">
        <v>10</v>
      </c>
      <c r="G66" s="6">
        <v>6</v>
      </c>
      <c r="H66" s="9">
        <v>4368.5</v>
      </c>
      <c r="I66" s="9">
        <v>6696.6</v>
      </c>
      <c r="J66" s="6">
        <v>4</v>
      </c>
      <c r="K66" s="6">
        <v>0</v>
      </c>
      <c r="L66" s="6">
        <v>0</v>
      </c>
      <c r="M66" s="6">
        <v>2</v>
      </c>
      <c r="N66" s="10" t="s">
        <v>137</v>
      </c>
    </row>
    <row r="67" spans="1:14" ht="14.25">
      <c r="A67" s="6">
        <v>62</v>
      </c>
      <c r="B67" s="7" t="s">
        <v>138</v>
      </c>
      <c r="C67" s="8">
        <v>1000</v>
      </c>
      <c r="D67" s="8">
        <v>300</v>
      </c>
      <c r="E67" s="8">
        <v>2113</v>
      </c>
      <c r="F67" s="6">
        <v>3</v>
      </c>
      <c r="G67" s="6">
        <v>1</v>
      </c>
      <c r="H67" s="9">
        <v>1000</v>
      </c>
      <c r="I67" s="9">
        <v>5113</v>
      </c>
      <c r="J67" s="6">
        <v>0</v>
      </c>
      <c r="K67" s="6">
        <v>0</v>
      </c>
      <c r="L67" s="6">
        <v>0</v>
      </c>
      <c r="M67" s="6">
        <v>1</v>
      </c>
      <c r="N67" s="10" t="s">
        <v>139</v>
      </c>
    </row>
    <row r="68" spans="1:14" ht="14.25">
      <c r="A68" s="6">
        <v>63</v>
      </c>
      <c r="B68" s="7" t="s">
        <v>140</v>
      </c>
      <c r="C68" s="8">
        <v>28</v>
      </c>
      <c r="D68" s="8">
        <f>C68</f>
        <v>28</v>
      </c>
      <c r="E68" s="8">
        <v>2035</v>
      </c>
      <c r="F68" s="6">
        <v>3</v>
      </c>
      <c r="G68" s="6">
        <v>1</v>
      </c>
      <c r="H68" s="9">
        <v>2035</v>
      </c>
      <c r="I68" s="9">
        <v>2233.1</v>
      </c>
      <c r="J68" s="6">
        <v>1</v>
      </c>
      <c r="K68" s="6">
        <v>0</v>
      </c>
      <c r="L68" s="6">
        <v>0</v>
      </c>
      <c r="M68" s="6">
        <v>0</v>
      </c>
      <c r="N68" s="10" t="s">
        <v>141</v>
      </c>
    </row>
    <row r="69" spans="1:14" ht="25.5">
      <c r="A69" s="6">
        <v>64</v>
      </c>
      <c r="B69" s="7" t="s">
        <v>142</v>
      </c>
      <c r="C69" s="8">
        <v>101</v>
      </c>
      <c r="D69" s="8">
        <f>C69</f>
        <v>101</v>
      </c>
      <c r="E69" s="8">
        <v>2012</v>
      </c>
      <c r="F69" s="6">
        <v>7</v>
      </c>
      <c r="G69" s="6">
        <v>6</v>
      </c>
      <c r="H69" s="9">
        <v>3270</v>
      </c>
      <c r="I69" s="9">
        <v>3726.6</v>
      </c>
      <c r="J69" s="6">
        <v>2</v>
      </c>
      <c r="K69" s="6">
        <v>1</v>
      </c>
      <c r="L69" s="6">
        <v>1</v>
      </c>
      <c r="M69" s="6">
        <v>2</v>
      </c>
      <c r="N69" s="10" t="s">
        <v>143</v>
      </c>
    </row>
    <row r="70" spans="1:14" ht="14.25">
      <c r="A70" s="6">
        <v>65</v>
      </c>
      <c r="B70" s="7" t="s">
        <v>144</v>
      </c>
      <c r="C70" s="8">
        <v>355.5</v>
      </c>
      <c r="D70" s="8">
        <f>C70</f>
        <v>355.5</v>
      </c>
      <c r="E70" s="8">
        <v>2000</v>
      </c>
      <c r="F70" s="6">
        <v>4</v>
      </c>
      <c r="G70" s="6">
        <v>2</v>
      </c>
      <c r="H70" s="9">
        <v>2355.5</v>
      </c>
      <c r="I70" s="9">
        <v>4843</v>
      </c>
      <c r="J70" s="6">
        <v>1</v>
      </c>
      <c r="K70" s="6">
        <v>0</v>
      </c>
      <c r="L70" s="6">
        <v>1</v>
      </c>
      <c r="M70" s="6">
        <v>0</v>
      </c>
      <c r="N70" s="10" t="s">
        <v>133</v>
      </c>
    </row>
    <row r="71" spans="1:14" ht="14.25">
      <c r="A71" s="6">
        <v>66</v>
      </c>
      <c r="B71" s="7" t="s">
        <v>145</v>
      </c>
      <c r="C71" s="8">
        <v>500</v>
      </c>
      <c r="D71" s="8">
        <v>300</v>
      </c>
      <c r="E71" s="8">
        <v>2000</v>
      </c>
      <c r="F71" s="6">
        <v>3</v>
      </c>
      <c r="G71" s="6">
        <v>2</v>
      </c>
      <c r="H71" s="9">
        <v>1053</v>
      </c>
      <c r="I71" s="9">
        <v>3053</v>
      </c>
      <c r="J71" s="6">
        <v>0</v>
      </c>
      <c r="K71" s="6">
        <v>1</v>
      </c>
      <c r="L71" s="6">
        <v>0</v>
      </c>
      <c r="M71" s="6">
        <v>1</v>
      </c>
      <c r="N71" s="10" t="s">
        <v>146</v>
      </c>
    </row>
    <row r="72" spans="1:14" ht="25.5">
      <c r="A72" s="6">
        <v>67</v>
      </c>
      <c r="B72" s="7" t="s">
        <v>147</v>
      </c>
      <c r="C72" s="8">
        <v>592</v>
      </c>
      <c r="D72" s="8">
        <v>300</v>
      </c>
      <c r="E72" s="8">
        <v>1945</v>
      </c>
      <c r="F72" s="6">
        <v>4</v>
      </c>
      <c r="G72" s="6">
        <v>3</v>
      </c>
      <c r="H72" s="9">
        <v>3642</v>
      </c>
      <c r="I72" s="9">
        <v>4767</v>
      </c>
      <c r="J72" s="6">
        <v>2</v>
      </c>
      <c r="K72" s="6">
        <v>0</v>
      </c>
      <c r="L72" s="6">
        <v>0</v>
      </c>
      <c r="M72" s="6">
        <v>1</v>
      </c>
      <c r="N72" s="10" t="s">
        <v>148</v>
      </c>
    </row>
    <row r="73" spans="1:14" ht="14.25">
      <c r="A73" s="6">
        <v>68</v>
      </c>
      <c r="B73" s="7" t="s">
        <v>149</v>
      </c>
      <c r="C73" s="8">
        <v>200</v>
      </c>
      <c r="D73" s="8">
        <f>C73</f>
        <v>200</v>
      </c>
      <c r="E73" s="8">
        <v>1888</v>
      </c>
      <c r="F73" s="6">
        <v>5</v>
      </c>
      <c r="G73" s="6">
        <v>3</v>
      </c>
      <c r="H73" s="9">
        <v>3952</v>
      </c>
      <c r="I73" s="9">
        <v>5262</v>
      </c>
      <c r="J73" s="6">
        <v>1</v>
      </c>
      <c r="K73" s="6">
        <v>1</v>
      </c>
      <c r="L73" s="6">
        <v>1</v>
      </c>
      <c r="M73" s="6">
        <v>0</v>
      </c>
      <c r="N73" s="10" t="s">
        <v>150</v>
      </c>
    </row>
    <row r="74" spans="1:14" ht="25.5">
      <c r="A74" s="6">
        <v>69</v>
      </c>
      <c r="B74" s="7" t="s">
        <v>151</v>
      </c>
      <c r="C74" s="8">
        <v>471.2</v>
      </c>
      <c r="D74" s="8">
        <v>300</v>
      </c>
      <c r="E74" s="8">
        <v>1819</v>
      </c>
      <c r="F74" s="6">
        <v>4</v>
      </c>
      <c r="G74" s="6">
        <v>4</v>
      </c>
      <c r="H74" s="9">
        <v>3362.3</v>
      </c>
      <c r="I74" s="9">
        <v>3362.3</v>
      </c>
      <c r="J74" s="6">
        <v>0</v>
      </c>
      <c r="K74" s="6">
        <v>4</v>
      </c>
      <c r="L74" s="6">
        <v>0</v>
      </c>
      <c r="M74" s="6">
        <v>0</v>
      </c>
      <c r="N74" s="10" t="s">
        <v>152</v>
      </c>
    </row>
    <row r="75" spans="1:14" ht="14.25">
      <c r="A75" s="6">
        <v>70</v>
      </c>
      <c r="B75" s="7" t="s">
        <v>153</v>
      </c>
      <c r="C75" s="8">
        <v>561</v>
      </c>
      <c r="D75" s="8">
        <v>300</v>
      </c>
      <c r="E75" s="8">
        <v>1813</v>
      </c>
      <c r="F75" s="6">
        <v>2</v>
      </c>
      <c r="G75" s="6">
        <v>1</v>
      </c>
      <c r="H75" s="9">
        <v>1813</v>
      </c>
      <c r="I75" s="9">
        <v>2374</v>
      </c>
      <c r="J75" s="6">
        <v>0</v>
      </c>
      <c r="K75" s="6">
        <v>0</v>
      </c>
      <c r="L75" s="6">
        <v>0</v>
      </c>
      <c r="M75" s="6">
        <v>1</v>
      </c>
      <c r="N75" s="10" t="s">
        <v>154</v>
      </c>
    </row>
    <row r="76" spans="1:14" ht="25.5">
      <c r="A76" s="6">
        <v>71</v>
      </c>
      <c r="B76" s="7" t="s">
        <v>155</v>
      </c>
      <c r="C76" s="8">
        <v>37.5</v>
      </c>
      <c r="D76" s="8">
        <v>300</v>
      </c>
      <c r="E76" s="8">
        <v>1800</v>
      </c>
      <c r="F76" s="6">
        <v>14</v>
      </c>
      <c r="G76" s="6">
        <v>10</v>
      </c>
      <c r="H76" s="9">
        <v>2736.2</v>
      </c>
      <c r="I76" s="9">
        <v>6436.2</v>
      </c>
      <c r="J76" s="6">
        <v>2</v>
      </c>
      <c r="K76" s="6">
        <v>4</v>
      </c>
      <c r="L76" s="6">
        <v>1</v>
      </c>
      <c r="M76" s="6">
        <v>3</v>
      </c>
      <c r="N76" s="11" t="s">
        <v>156</v>
      </c>
    </row>
    <row r="77" spans="1:14" ht="25.5">
      <c r="A77" s="6">
        <v>72</v>
      </c>
      <c r="B77" s="7" t="s">
        <v>157</v>
      </c>
      <c r="C77" s="8">
        <v>1780</v>
      </c>
      <c r="D77" s="8">
        <f>MIN(C77,300)</f>
        <v>300</v>
      </c>
      <c r="E77" s="8">
        <v>1780</v>
      </c>
      <c r="F77" s="6">
        <v>1</v>
      </c>
      <c r="G77" s="6">
        <v>1</v>
      </c>
      <c r="H77" s="9">
        <v>1780</v>
      </c>
      <c r="I77" s="9">
        <v>1780</v>
      </c>
      <c r="J77" s="6">
        <v>0</v>
      </c>
      <c r="K77" s="6">
        <v>0</v>
      </c>
      <c r="L77" s="6">
        <v>1</v>
      </c>
      <c r="M77" s="6">
        <v>0</v>
      </c>
      <c r="N77" s="10" t="s">
        <v>158</v>
      </c>
    </row>
    <row r="78" spans="1:14" ht="25.5">
      <c r="A78" s="6">
        <v>73</v>
      </c>
      <c r="B78" s="7" t="s">
        <v>159</v>
      </c>
      <c r="C78" s="8">
        <v>168.3</v>
      </c>
      <c r="D78" s="8">
        <f t="shared" ref="D78:D141" si="0">MIN(C78,300)</f>
        <v>168.3</v>
      </c>
      <c r="E78" s="8">
        <v>1770</v>
      </c>
      <c r="F78" s="6">
        <v>6</v>
      </c>
      <c r="G78" s="6">
        <v>5</v>
      </c>
      <c r="H78" s="9">
        <v>4504.3</v>
      </c>
      <c r="I78" s="9">
        <v>6274.3</v>
      </c>
      <c r="J78" s="6">
        <v>2</v>
      </c>
      <c r="K78" s="6">
        <v>1</v>
      </c>
      <c r="L78" s="6">
        <v>1</v>
      </c>
      <c r="M78" s="6">
        <v>1</v>
      </c>
      <c r="N78" s="10" t="s">
        <v>160</v>
      </c>
    </row>
    <row r="79" spans="1:14" ht="25.5">
      <c r="A79" s="6">
        <v>74</v>
      </c>
      <c r="B79" s="7" t="s">
        <v>161</v>
      </c>
      <c r="C79" s="8">
        <v>1002</v>
      </c>
      <c r="D79" s="8">
        <f t="shared" si="0"/>
        <v>300</v>
      </c>
      <c r="E79" s="8">
        <v>1720</v>
      </c>
      <c r="F79" s="6">
        <v>4</v>
      </c>
      <c r="G79" s="6">
        <v>4</v>
      </c>
      <c r="H79" s="9">
        <v>5304</v>
      </c>
      <c r="I79" s="9">
        <v>5304</v>
      </c>
      <c r="J79" s="6">
        <v>2</v>
      </c>
      <c r="K79" s="6">
        <v>0</v>
      </c>
      <c r="L79" s="6">
        <v>0</v>
      </c>
      <c r="M79" s="6">
        <v>2</v>
      </c>
      <c r="N79" s="10" t="s">
        <v>162</v>
      </c>
    </row>
    <row r="80" spans="1:14" ht="14.25">
      <c r="A80" s="6">
        <v>75</v>
      </c>
      <c r="B80" s="7" t="s">
        <v>163</v>
      </c>
      <c r="C80" s="8">
        <v>51</v>
      </c>
      <c r="D80" s="8">
        <f t="shared" si="0"/>
        <v>51</v>
      </c>
      <c r="E80" s="8">
        <v>1652.4</v>
      </c>
      <c r="F80" s="6">
        <v>11</v>
      </c>
      <c r="G80" s="6">
        <v>8</v>
      </c>
      <c r="H80" s="9">
        <v>4748.5</v>
      </c>
      <c r="I80" s="9">
        <v>6689</v>
      </c>
      <c r="J80" s="6">
        <v>1</v>
      </c>
      <c r="K80" s="6">
        <v>4</v>
      </c>
      <c r="L80" s="6">
        <v>1</v>
      </c>
      <c r="M80" s="6">
        <v>2</v>
      </c>
      <c r="N80" s="10" t="s">
        <v>164</v>
      </c>
    </row>
    <row r="81" spans="1:14" ht="14.25">
      <c r="A81" s="6">
        <v>76</v>
      </c>
      <c r="B81" s="7" t="s">
        <v>165</v>
      </c>
      <c r="C81" s="8">
        <v>95</v>
      </c>
      <c r="D81" s="8">
        <f t="shared" si="0"/>
        <v>95</v>
      </c>
      <c r="E81" s="8">
        <v>1641</v>
      </c>
      <c r="F81" s="6">
        <v>3</v>
      </c>
      <c r="G81" s="6">
        <v>2</v>
      </c>
      <c r="H81" s="9">
        <v>895</v>
      </c>
      <c r="I81" s="9">
        <v>2536</v>
      </c>
      <c r="J81" s="6">
        <v>1</v>
      </c>
      <c r="K81" s="6">
        <v>0</v>
      </c>
      <c r="L81" s="6">
        <v>1</v>
      </c>
      <c r="M81" s="6">
        <v>0</v>
      </c>
      <c r="N81" s="10" t="s">
        <v>166</v>
      </c>
    </row>
    <row r="82" spans="1:14" ht="25.5">
      <c r="A82" s="6">
        <v>77</v>
      </c>
      <c r="B82" s="7" t="s">
        <v>167</v>
      </c>
      <c r="C82" s="8">
        <v>150</v>
      </c>
      <c r="D82" s="8">
        <f t="shared" si="0"/>
        <v>150</v>
      </c>
      <c r="E82" s="8">
        <v>1620</v>
      </c>
      <c r="F82" s="6">
        <v>15</v>
      </c>
      <c r="G82" s="6">
        <v>11</v>
      </c>
      <c r="H82" s="9">
        <v>6802</v>
      </c>
      <c r="I82" s="9">
        <v>8683.4</v>
      </c>
      <c r="J82" s="6">
        <v>4</v>
      </c>
      <c r="K82" s="6">
        <v>2</v>
      </c>
      <c r="L82" s="6">
        <v>3</v>
      </c>
      <c r="M82" s="6">
        <v>2</v>
      </c>
      <c r="N82" s="10" t="s">
        <v>168</v>
      </c>
    </row>
    <row r="83" spans="1:14" ht="14.25">
      <c r="A83" s="6">
        <v>78</v>
      </c>
      <c r="B83" s="7" t="s">
        <v>169</v>
      </c>
      <c r="C83" s="8">
        <v>805</v>
      </c>
      <c r="D83" s="8">
        <v>300</v>
      </c>
      <c r="E83" s="8">
        <v>1605</v>
      </c>
      <c r="F83" s="6">
        <v>2</v>
      </c>
      <c r="G83" s="6">
        <v>2</v>
      </c>
      <c r="H83" s="9">
        <v>2410</v>
      </c>
      <c r="I83" s="9">
        <v>2410</v>
      </c>
      <c r="J83" s="6">
        <v>1</v>
      </c>
      <c r="K83" s="6">
        <v>1</v>
      </c>
      <c r="L83" s="6">
        <v>0</v>
      </c>
      <c r="M83" s="6">
        <v>0</v>
      </c>
      <c r="N83" s="10" t="s">
        <v>170</v>
      </c>
    </row>
    <row r="84" spans="1:14" ht="14.25">
      <c r="A84" s="6">
        <v>79</v>
      </c>
      <c r="B84" s="7" t="s">
        <v>171</v>
      </c>
      <c r="C84" s="8">
        <v>420</v>
      </c>
      <c r="D84" s="8">
        <v>300</v>
      </c>
      <c r="E84" s="8">
        <v>1591</v>
      </c>
      <c r="F84" s="6">
        <v>3</v>
      </c>
      <c r="G84" s="6">
        <v>1</v>
      </c>
      <c r="H84" s="9">
        <v>1591</v>
      </c>
      <c r="I84" s="9">
        <v>3161</v>
      </c>
      <c r="J84" s="6">
        <v>1</v>
      </c>
      <c r="K84" s="6">
        <v>0</v>
      </c>
      <c r="L84" s="6">
        <v>0</v>
      </c>
      <c r="M84" s="6">
        <v>0</v>
      </c>
      <c r="N84" s="10" t="s">
        <v>172</v>
      </c>
    </row>
    <row r="85" spans="1:14" ht="14.25">
      <c r="A85" s="6">
        <v>80</v>
      </c>
      <c r="B85" s="7" t="s">
        <v>173</v>
      </c>
      <c r="C85" s="8">
        <v>879.1</v>
      </c>
      <c r="D85" s="8">
        <v>300</v>
      </c>
      <c r="E85" s="8">
        <v>1531</v>
      </c>
      <c r="F85" s="6">
        <v>2</v>
      </c>
      <c r="G85" s="6">
        <v>1</v>
      </c>
      <c r="H85" s="9">
        <v>879.1</v>
      </c>
      <c r="I85" s="9">
        <v>2410.1</v>
      </c>
      <c r="J85" s="6">
        <v>0</v>
      </c>
      <c r="K85" s="6">
        <v>0</v>
      </c>
      <c r="L85" s="6">
        <v>1</v>
      </c>
      <c r="M85" s="6">
        <v>0</v>
      </c>
      <c r="N85" s="10" t="s">
        <v>174</v>
      </c>
    </row>
    <row r="86" spans="1:14" ht="14.25">
      <c r="A86" s="6">
        <v>81</v>
      </c>
      <c r="B86" s="7" t="s">
        <v>175</v>
      </c>
      <c r="C86" s="8">
        <v>1502</v>
      </c>
      <c r="D86" s="8">
        <v>300</v>
      </c>
      <c r="E86" s="8">
        <v>1502</v>
      </c>
      <c r="F86" s="6">
        <v>1</v>
      </c>
      <c r="G86" s="6">
        <v>1</v>
      </c>
      <c r="H86" s="9">
        <v>1502</v>
      </c>
      <c r="I86" s="9">
        <v>1502</v>
      </c>
      <c r="J86" s="6">
        <v>0</v>
      </c>
      <c r="K86" s="6">
        <v>0</v>
      </c>
      <c r="L86" s="6">
        <v>0</v>
      </c>
      <c r="M86" s="6">
        <v>1</v>
      </c>
      <c r="N86" s="10" t="s">
        <v>176</v>
      </c>
    </row>
    <row r="87" spans="1:14" ht="14.25">
      <c r="A87" s="6">
        <v>82</v>
      </c>
      <c r="B87" s="7" t="s">
        <v>177</v>
      </c>
      <c r="C87" s="8">
        <v>1500</v>
      </c>
      <c r="D87" s="8">
        <v>300</v>
      </c>
      <c r="E87" s="8">
        <v>1500</v>
      </c>
      <c r="F87" s="6">
        <v>1</v>
      </c>
      <c r="G87" s="6">
        <v>1</v>
      </c>
      <c r="H87" s="9">
        <v>1500</v>
      </c>
      <c r="I87" s="9">
        <v>1500</v>
      </c>
      <c r="J87" s="6">
        <v>0</v>
      </c>
      <c r="K87" s="6">
        <v>0</v>
      </c>
      <c r="L87" s="6">
        <v>1</v>
      </c>
      <c r="M87" s="6">
        <v>0</v>
      </c>
      <c r="N87" s="10" t="s">
        <v>178</v>
      </c>
    </row>
    <row r="88" spans="1:14" ht="14.25">
      <c r="A88" s="6">
        <v>83</v>
      </c>
      <c r="B88" s="7" t="s">
        <v>179</v>
      </c>
      <c r="C88" s="8">
        <v>769.5</v>
      </c>
      <c r="D88" s="8">
        <v>300</v>
      </c>
      <c r="E88" s="8">
        <v>1486</v>
      </c>
      <c r="F88" s="6">
        <v>2</v>
      </c>
      <c r="G88" s="6">
        <v>1</v>
      </c>
      <c r="H88" s="9">
        <v>769.5</v>
      </c>
      <c r="I88" s="9">
        <v>2255.6</v>
      </c>
      <c r="J88" s="6">
        <v>0</v>
      </c>
      <c r="K88" s="6">
        <v>1</v>
      </c>
      <c r="L88" s="6">
        <v>0</v>
      </c>
      <c r="M88" s="6">
        <v>0</v>
      </c>
      <c r="N88" s="11"/>
    </row>
    <row r="89" spans="1:14" ht="14.25">
      <c r="A89" s="6">
        <v>84</v>
      </c>
      <c r="B89" s="7" t="s">
        <v>180</v>
      </c>
      <c r="C89" s="8">
        <v>1475</v>
      </c>
      <c r="D89" s="8">
        <v>300</v>
      </c>
      <c r="E89" s="8">
        <v>1475</v>
      </c>
      <c r="F89" s="6">
        <v>1</v>
      </c>
      <c r="G89" s="6">
        <v>1</v>
      </c>
      <c r="H89" s="9">
        <v>1475</v>
      </c>
      <c r="I89" s="9">
        <v>1475</v>
      </c>
      <c r="J89" s="6">
        <v>1</v>
      </c>
      <c r="K89" s="6">
        <v>0</v>
      </c>
      <c r="L89" s="6">
        <v>0</v>
      </c>
      <c r="M89" s="6">
        <v>0</v>
      </c>
      <c r="N89" s="10" t="s">
        <v>181</v>
      </c>
    </row>
    <row r="90" spans="1:14" ht="25.5">
      <c r="A90" s="6">
        <v>85</v>
      </c>
      <c r="B90" s="7" t="s">
        <v>182</v>
      </c>
      <c r="C90" s="8">
        <v>753</v>
      </c>
      <c r="D90" s="8">
        <v>300</v>
      </c>
      <c r="E90" s="8">
        <v>1392</v>
      </c>
      <c r="F90" s="6">
        <v>2</v>
      </c>
      <c r="G90" s="6">
        <v>2</v>
      </c>
      <c r="H90" s="9">
        <v>2145</v>
      </c>
      <c r="I90" s="9">
        <v>2145</v>
      </c>
      <c r="J90" s="6">
        <v>0</v>
      </c>
      <c r="K90" s="6">
        <v>1</v>
      </c>
      <c r="L90" s="6">
        <v>1</v>
      </c>
      <c r="M90" s="6">
        <v>0</v>
      </c>
      <c r="N90" s="10" t="s">
        <v>183</v>
      </c>
    </row>
    <row r="91" spans="1:14" ht="14.25">
      <c r="A91" s="6">
        <v>86</v>
      </c>
      <c r="B91" s="7" t="s">
        <v>184</v>
      </c>
      <c r="C91" s="8">
        <v>21.6</v>
      </c>
      <c r="D91" s="8">
        <v>21.6</v>
      </c>
      <c r="E91" s="8">
        <v>1344</v>
      </c>
      <c r="F91" s="6">
        <v>7</v>
      </c>
      <c r="G91" s="6">
        <v>5</v>
      </c>
      <c r="H91" s="9">
        <v>3120.3</v>
      </c>
      <c r="I91" s="9">
        <v>3254.4</v>
      </c>
      <c r="J91" s="6">
        <v>1</v>
      </c>
      <c r="K91" s="6">
        <v>1</v>
      </c>
      <c r="L91" s="6">
        <v>2</v>
      </c>
      <c r="M91" s="6">
        <v>1</v>
      </c>
      <c r="N91" s="10" t="s">
        <v>185</v>
      </c>
    </row>
    <row r="92" spans="1:14" ht="14.25">
      <c r="A92" s="6">
        <v>87</v>
      </c>
      <c r="B92" s="7" t="s">
        <v>186</v>
      </c>
      <c r="C92" s="8">
        <v>1300</v>
      </c>
      <c r="D92" s="8">
        <v>300</v>
      </c>
      <c r="E92" s="8">
        <v>1300</v>
      </c>
      <c r="F92" s="6">
        <v>1</v>
      </c>
      <c r="G92" s="6">
        <v>1</v>
      </c>
      <c r="H92" s="9">
        <v>1300</v>
      </c>
      <c r="I92" s="9">
        <v>1300</v>
      </c>
      <c r="J92" s="6">
        <v>1</v>
      </c>
      <c r="K92" s="6">
        <v>0</v>
      </c>
      <c r="L92" s="6">
        <v>0</v>
      </c>
      <c r="M92" s="6">
        <v>0</v>
      </c>
      <c r="N92" s="11" t="s">
        <v>187</v>
      </c>
    </row>
    <row r="93" spans="1:14" ht="14.25">
      <c r="A93" s="6">
        <v>88</v>
      </c>
      <c r="B93" s="7" t="s">
        <v>188</v>
      </c>
      <c r="C93" s="8">
        <v>1273.2</v>
      </c>
      <c r="D93" s="8">
        <v>300</v>
      </c>
      <c r="E93" s="8">
        <v>1273.2</v>
      </c>
      <c r="F93" s="6">
        <v>1</v>
      </c>
      <c r="G93" s="6">
        <v>1</v>
      </c>
      <c r="H93" s="9">
        <v>1273.2</v>
      </c>
      <c r="I93" s="9">
        <v>1273.2</v>
      </c>
      <c r="J93" s="6">
        <v>0</v>
      </c>
      <c r="K93" s="6">
        <v>0</v>
      </c>
      <c r="L93" s="6">
        <v>1</v>
      </c>
      <c r="M93" s="6">
        <v>0</v>
      </c>
      <c r="N93" s="10" t="s">
        <v>189</v>
      </c>
    </row>
    <row r="94" spans="1:14" ht="14.25">
      <c r="A94" s="6">
        <v>89</v>
      </c>
      <c r="B94" s="7" t="s">
        <v>190</v>
      </c>
      <c r="C94" s="8">
        <v>311</v>
      </c>
      <c r="D94" s="8">
        <v>300</v>
      </c>
      <c r="E94" s="8">
        <v>1265</v>
      </c>
      <c r="F94" s="6">
        <v>4</v>
      </c>
      <c r="G94" s="6">
        <v>2</v>
      </c>
      <c r="H94" s="9">
        <v>1790</v>
      </c>
      <c r="I94" s="9">
        <v>3321</v>
      </c>
      <c r="J94" s="6">
        <v>0</v>
      </c>
      <c r="K94" s="6">
        <v>0</v>
      </c>
      <c r="L94" s="6">
        <v>0</v>
      </c>
      <c r="M94" s="6">
        <v>2</v>
      </c>
      <c r="N94" s="10" t="s">
        <v>191</v>
      </c>
    </row>
    <row r="95" spans="1:14" ht="14.25">
      <c r="A95" s="6">
        <v>90</v>
      </c>
      <c r="B95" s="7" t="s">
        <v>192</v>
      </c>
      <c r="C95" s="8">
        <v>601</v>
      </c>
      <c r="D95" s="8">
        <v>300</v>
      </c>
      <c r="E95" s="8">
        <v>1251</v>
      </c>
      <c r="F95" s="6">
        <v>3</v>
      </c>
      <c r="G95" s="6">
        <v>3</v>
      </c>
      <c r="H95" s="9">
        <v>2552</v>
      </c>
      <c r="I95" s="9">
        <v>2552</v>
      </c>
      <c r="J95" s="6">
        <v>1</v>
      </c>
      <c r="K95" s="6">
        <v>1</v>
      </c>
      <c r="L95" s="6">
        <v>0</v>
      </c>
      <c r="M95" s="6">
        <v>1</v>
      </c>
      <c r="N95" s="10" t="s">
        <v>193</v>
      </c>
    </row>
    <row r="96" spans="1:14" ht="14.25">
      <c r="A96" s="6">
        <v>91</v>
      </c>
      <c r="B96" s="7" t="s">
        <v>194</v>
      </c>
      <c r="C96" s="8">
        <v>250</v>
      </c>
      <c r="D96" s="8">
        <v>250</v>
      </c>
      <c r="E96" s="8">
        <v>1250</v>
      </c>
      <c r="F96" s="6">
        <v>8</v>
      </c>
      <c r="G96" s="6">
        <v>4</v>
      </c>
      <c r="H96" s="9">
        <v>2690.5</v>
      </c>
      <c r="I96" s="9">
        <v>5717</v>
      </c>
      <c r="J96" s="6">
        <v>0</v>
      </c>
      <c r="K96" s="6">
        <v>0</v>
      </c>
      <c r="L96" s="6">
        <v>1</v>
      </c>
      <c r="M96" s="6">
        <v>3</v>
      </c>
      <c r="N96" s="11"/>
    </row>
    <row r="97" spans="1:14" ht="25.5">
      <c r="A97" s="6">
        <v>92</v>
      </c>
      <c r="B97" s="7" t="s">
        <v>195</v>
      </c>
      <c r="C97" s="8">
        <v>380</v>
      </c>
      <c r="D97" s="8">
        <v>300</v>
      </c>
      <c r="E97" s="8">
        <v>1250</v>
      </c>
      <c r="F97" s="6">
        <v>4</v>
      </c>
      <c r="G97" s="6">
        <v>2</v>
      </c>
      <c r="H97" s="9">
        <v>1080</v>
      </c>
      <c r="I97" s="9">
        <v>2730</v>
      </c>
      <c r="J97" s="6">
        <v>1</v>
      </c>
      <c r="K97" s="6">
        <v>1</v>
      </c>
      <c r="L97" s="6">
        <v>0</v>
      </c>
      <c r="M97" s="6">
        <v>0</v>
      </c>
      <c r="N97" s="10" t="s">
        <v>196</v>
      </c>
    </row>
    <row r="98" spans="1:14" ht="14.25">
      <c r="A98" s="6">
        <v>93</v>
      </c>
      <c r="B98" s="7" t="s">
        <v>197</v>
      </c>
      <c r="C98" s="8">
        <v>450</v>
      </c>
      <c r="D98" s="8">
        <v>300</v>
      </c>
      <c r="E98" s="8">
        <v>1203</v>
      </c>
      <c r="F98" s="6">
        <v>4</v>
      </c>
      <c r="G98" s="6">
        <v>1</v>
      </c>
      <c r="H98" s="9">
        <v>455</v>
      </c>
      <c r="I98" s="9">
        <v>2628</v>
      </c>
      <c r="J98" s="6">
        <v>1</v>
      </c>
      <c r="K98" s="6">
        <v>0</v>
      </c>
      <c r="L98" s="6">
        <v>0</v>
      </c>
      <c r="M98" s="6">
        <v>0</v>
      </c>
      <c r="N98" s="10" t="s">
        <v>198</v>
      </c>
    </row>
    <row r="99" spans="1:14" ht="25.5">
      <c r="A99" s="6">
        <v>94</v>
      </c>
      <c r="B99" s="7" t="s">
        <v>199</v>
      </c>
      <c r="C99" s="8">
        <v>750</v>
      </c>
      <c r="D99" s="8">
        <v>300</v>
      </c>
      <c r="E99" s="8">
        <v>1200</v>
      </c>
      <c r="F99" s="6">
        <v>2</v>
      </c>
      <c r="G99" s="6">
        <v>1</v>
      </c>
      <c r="H99" s="9">
        <v>1200</v>
      </c>
      <c r="I99" s="9">
        <v>1950</v>
      </c>
      <c r="J99" s="6">
        <v>0</v>
      </c>
      <c r="K99" s="6">
        <v>0</v>
      </c>
      <c r="L99" s="6">
        <v>1</v>
      </c>
      <c r="M99" s="6">
        <v>0</v>
      </c>
      <c r="N99" s="10" t="s">
        <v>200</v>
      </c>
    </row>
    <row r="100" spans="1:14" ht="14.25">
      <c r="A100" s="6">
        <v>95</v>
      </c>
      <c r="B100" s="7" t="s">
        <v>201</v>
      </c>
      <c r="C100" s="8">
        <v>202</v>
      </c>
      <c r="D100" s="8">
        <v>202</v>
      </c>
      <c r="E100" s="8">
        <v>1199</v>
      </c>
      <c r="F100" s="6">
        <v>4</v>
      </c>
      <c r="G100" s="6">
        <v>3</v>
      </c>
      <c r="H100" s="9">
        <v>1835.5</v>
      </c>
      <c r="I100" s="9">
        <v>2635.5</v>
      </c>
      <c r="J100" s="6">
        <v>2</v>
      </c>
      <c r="K100" s="6">
        <v>0</v>
      </c>
      <c r="L100" s="6">
        <v>1</v>
      </c>
      <c r="M100" s="6">
        <v>0</v>
      </c>
      <c r="N100" s="10" t="s">
        <v>202</v>
      </c>
    </row>
    <row r="101" spans="1:14" ht="25.5">
      <c r="A101" s="6">
        <v>96</v>
      </c>
      <c r="B101" s="7" t="s">
        <v>203</v>
      </c>
      <c r="C101" s="8">
        <v>240</v>
      </c>
      <c r="D101" s="8">
        <v>240</v>
      </c>
      <c r="E101" s="8">
        <v>1170</v>
      </c>
      <c r="F101" s="6">
        <v>2</v>
      </c>
      <c r="G101" s="6">
        <v>1</v>
      </c>
      <c r="H101" s="9">
        <v>1170</v>
      </c>
      <c r="I101" s="9">
        <v>1410</v>
      </c>
      <c r="J101" s="6">
        <v>0</v>
      </c>
      <c r="K101" s="6">
        <v>1</v>
      </c>
      <c r="L101" s="6">
        <v>0</v>
      </c>
      <c r="M101" s="6">
        <v>0</v>
      </c>
      <c r="N101" s="10" t="s">
        <v>204</v>
      </c>
    </row>
    <row r="102" spans="1:14" ht="14.25">
      <c r="A102" s="6">
        <v>97</v>
      </c>
      <c r="B102" s="7" t="s">
        <v>205</v>
      </c>
      <c r="C102" s="8">
        <v>430</v>
      </c>
      <c r="D102" s="8">
        <v>300</v>
      </c>
      <c r="E102" s="8">
        <v>1125</v>
      </c>
      <c r="F102" s="6">
        <v>3</v>
      </c>
      <c r="G102" s="6">
        <v>3</v>
      </c>
      <c r="H102" s="9">
        <v>2605</v>
      </c>
      <c r="I102" s="9">
        <v>2605</v>
      </c>
      <c r="J102" s="6">
        <v>0</v>
      </c>
      <c r="K102" s="6">
        <v>1</v>
      </c>
      <c r="L102" s="6">
        <v>1</v>
      </c>
      <c r="M102" s="6">
        <v>1</v>
      </c>
      <c r="N102" s="10" t="s">
        <v>206</v>
      </c>
    </row>
    <row r="103" spans="1:14" ht="14.25">
      <c r="A103" s="6">
        <v>98</v>
      </c>
      <c r="B103" s="7" t="s">
        <v>207</v>
      </c>
      <c r="C103" s="8">
        <v>920.5</v>
      </c>
      <c r="D103" s="8">
        <v>300</v>
      </c>
      <c r="E103" s="8">
        <v>1108</v>
      </c>
      <c r="F103" s="6">
        <v>2</v>
      </c>
      <c r="G103" s="6">
        <v>1</v>
      </c>
      <c r="H103" s="9">
        <v>920.5</v>
      </c>
      <c r="I103" s="9">
        <v>2028.5</v>
      </c>
      <c r="J103" s="6">
        <v>0</v>
      </c>
      <c r="K103" s="6">
        <v>0</v>
      </c>
      <c r="L103" s="6">
        <v>0</v>
      </c>
      <c r="M103" s="6">
        <v>1</v>
      </c>
      <c r="N103" s="10" t="s">
        <v>208</v>
      </c>
    </row>
    <row r="104" spans="1:14" ht="25.5">
      <c r="A104" s="6">
        <v>99</v>
      </c>
      <c r="B104" s="7" t="s">
        <v>209</v>
      </c>
      <c r="C104" s="8">
        <v>101</v>
      </c>
      <c r="D104" s="8">
        <v>101</v>
      </c>
      <c r="E104" s="8">
        <v>1104</v>
      </c>
      <c r="F104" s="6">
        <v>7</v>
      </c>
      <c r="G104" s="6">
        <v>5</v>
      </c>
      <c r="H104" s="9">
        <v>2749</v>
      </c>
      <c r="I104" s="9">
        <v>4616</v>
      </c>
      <c r="J104" s="6">
        <v>1</v>
      </c>
      <c r="K104" s="6">
        <v>3</v>
      </c>
      <c r="L104" s="6">
        <v>1</v>
      </c>
      <c r="M104" s="6">
        <v>0</v>
      </c>
      <c r="N104" s="10" t="s">
        <v>210</v>
      </c>
    </row>
    <row r="105" spans="1:14" ht="14.25">
      <c r="A105" s="6">
        <v>100</v>
      </c>
      <c r="B105" s="7" t="s">
        <v>211</v>
      </c>
      <c r="C105" s="8">
        <v>521</v>
      </c>
      <c r="D105" s="8">
        <v>300</v>
      </c>
      <c r="E105" s="8">
        <v>1102</v>
      </c>
      <c r="F105" s="6">
        <v>2</v>
      </c>
      <c r="G105" s="6">
        <v>2</v>
      </c>
      <c r="H105" s="9">
        <v>1623</v>
      </c>
      <c r="I105" s="9">
        <v>1623</v>
      </c>
      <c r="J105" s="6">
        <v>1</v>
      </c>
      <c r="K105" s="6">
        <v>0</v>
      </c>
      <c r="L105" s="6">
        <v>1</v>
      </c>
      <c r="M105" s="6">
        <v>0</v>
      </c>
      <c r="N105" s="10" t="s">
        <v>212</v>
      </c>
    </row>
    <row r="106" spans="1:14" ht="14.25">
      <c r="A106" s="6">
        <v>101</v>
      </c>
      <c r="B106" s="7" t="s">
        <v>213</v>
      </c>
      <c r="C106" s="8">
        <v>40.799999999999997</v>
      </c>
      <c r="D106" s="8">
        <v>40.799999999999997</v>
      </c>
      <c r="E106" s="8">
        <v>1070</v>
      </c>
      <c r="F106" s="6">
        <v>4</v>
      </c>
      <c r="G106" s="6">
        <v>4</v>
      </c>
      <c r="H106" s="9">
        <v>2264.8000000000002</v>
      </c>
      <c r="I106" s="9">
        <v>2264.8000000000002</v>
      </c>
      <c r="J106" s="6">
        <v>2</v>
      </c>
      <c r="K106" s="6">
        <v>0</v>
      </c>
      <c r="L106" s="6">
        <v>1</v>
      </c>
      <c r="M106" s="6">
        <v>1</v>
      </c>
      <c r="N106" s="10" t="s">
        <v>214</v>
      </c>
    </row>
    <row r="107" spans="1:14" ht="14.25">
      <c r="A107" s="6">
        <v>102</v>
      </c>
      <c r="B107" s="7" t="s">
        <v>215</v>
      </c>
      <c r="C107" s="8">
        <v>336</v>
      </c>
      <c r="D107" s="8">
        <v>300</v>
      </c>
      <c r="E107" s="8">
        <v>1051</v>
      </c>
      <c r="F107" s="6">
        <v>3</v>
      </c>
      <c r="G107" s="6">
        <v>2</v>
      </c>
      <c r="H107" s="9">
        <v>1551</v>
      </c>
      <c r="I107" s="9">
        <v>1887</v>
      </c>
      <c r="J107" s="6">
        <v>1</v>
      </c>
      <c r="K107" s="6">
        <v>0</v>
      </c>
      <c r="L107" s="6">
        <v>1</v>
      </c>
      <c r="M107" s="6">
        <v>0</v>
      </c>
      <c r="N107" s="11"/>
    </row>
    <row r="108" spans="1:14" ht="14.25">
      <c r="A108" s="6">
        <v>103</v>
      </c>
      <c r="B108" s="7" t="s">
        <v>216</v>
      </c>
      <c r="C108" s="8">
        <v>150</v>
      </c>
      <c r="D108" s="8">
        <v>150</v>
      </c>
      <c r="E108" s="8">
        <v>1050</v>
      </c>
      <c r="F108" s="6">
        <v>2</v>
      </c>
      <c r="G108" s="6">
        <v>2</v>
      </c>
      <c r="H108" s="9">
        <v>1200</v>
      </c>
      <c r="I108" s="9">
        <v>1200</v>
      </c>
      <c r="J108" s="6">
        <v>0</v>
      </c>
      <c r="K108" s="6">
        <v>0</v>
      </c>
      <c r="L108" s="6">
        <v>0</v>
      </c>
      <c r="M108" s="6">
        <v>2</v>
      </c>
      <c r="N108" s="11"/>
    </row>
    <row r="109" spans="1:14" ht="25.5">
      <c r="A109" s="6">
        <v>104</v>
      </c>
      <c r="B109" s="7" t="s">
        <v>217</v>
      </c>
      <c r="C109" s="8">
        <v>724.5</v>
      </c>
      <c r="D109" s="8">
        <v>300</v>
      </c>
      <c r="E109" s="8">
        <v>1045</v>
      </c>
      <c r="F109" s="6">
        <v>2</v>
      </c>
      <c r="G109" s="6">
        <v>1</v>
      </c>
      <c r="H109" s="9">
        <v>724.5</v>
      </c>
      <c r="I109" s="9">
        <v>1769.5</v>
      </c>
      <c r="J109" s="6">
        <v>0</v>
      </c>
      <c r="K109" s="6">
        <v>1</v>
      </c>
      <c r="L109" s="6">
        <v>0</v>
      </c>
      <c r="M109" s="6">
        <v>0</v>
      </c>
      <c r="N109" s="10" t="s">
        <v>218</v>
      </c>
    </row>
    <row r="110" spans="1:14" ht="14.25">
      <c r="A110" s="6">
        <v>105</v>
      </c>
      <c r="B110" s="7" t="s">
        <v>219</v>
      </c>
      <c r="C110" s="8">
        <v>177.5</v>
      </c>
      <c r="D110" s="8">
        <v>177.5</v>
      </c>
      <c r="E110" s="8">
        <v>1038.5</v>
      </c>
      <c r="F110" s="6">
        <v>4</v>
      </c>
      <c r="G110" s="6">
        <v>2</v>
      </c>
      <c r="H110" s="9">
        <v>1539.5</v>
      </c>
      <c r="I110" s="9">
        <v>2238.1</v>
      </c>
      <c r="J110" s="6">
        <v>0</v>
      </c>
      <c r="K110" s="6">
        <v>0</v>
      </c>
      <c r="L110" s="6">
        <v>1</v>
      </c>
      <c r="M110" s="6">
        <v>1</v>
      </c>
      <c r="N110" s="11"/>
    </row>
    <row r="111" spans="1:14" ht="14.25">
      <c r="A111" s="6">
        <v>106</v>
      </c>
      <c r="B111" s="7" t="s">
        <v>220</v>
      </c>
      <c r="C111" s="8">
        <v>1038.5</v>
      </c>
      <c r="D111" s="8">
        <v>300</v>
      </c>
      <c r="E111" s="8">
        <v>1038.5</v>
      </c>
      <c r="F111" s="6">
        <v>1</v>
      </c>
      <c r="G111" s="6">
        <v>1</v>
      </c>
      <c r="H111" s="9">
        <v>1038.5</v>
      </c>
      <c r="I111" s="9">
        <v>1038.5</v>
      </c>
      <c r="J111" s="6">
        <v>0</v>
      </c>
      <c r="K111" s="6">
        <v>0</v>
      </c>
      <c r="L111" s="6">
        <v>1</v>
      </c>
      <c r="M111" s="6">
        <v>0</v>
      </c>
      <c r="N111" s="11"/>
    </row>
    <row r="112" spans="1:14" ht="14.25">
      <c r="A112" s="6">
        <v>107</v>
      </c>
      <c r="B112" s="7" t="s">
        <v>221</v>
      </c>
      <c r="C112" s="8">
        <v>151</v>
      </c>
      <c r="D112" s="8">
        <v>151</v>
      </c>
      <c r="E112" s="8">
        <v>1035</v>
      </c>
      <c r="F112" s="6">
        <v>4</v>
      </c>
      <c r="G112" s="6">
        <v>2</v>
      </c>
      <c r="H112" s="9">
        <v>651.5</v>
      </c>
      <c r="I112" s="9">
        <v>2219.5</v>
      </c>
      <c r="J112" s="6">
        <v>2</v>
      </c>
      <c r="K112" s="6">
        <v>0</v>
      </c>
      <c r="L112" s="6">
        <v>0</v>
      </c>
      <c r="M112" s="6">
        <v>0</v>
      </c>
      <c r="N112" s="11"/>
    </row>
    <row r="113" spans="1:14" ht="25.5">
      <c r="A113" s="6">
        <v>108</v>
      </c>
      <c r="B113" s="7" t="s">
        <v>222</v>
      </c>
      <c r="C113" s="8">
        <v>223</v>
      </c>
      <c r="D113" s="8">
        <v>223</v>
      </c>
      <c r="E113" s="8">
        <v>1033</v>
      </c>
      <c r="F113" s="6">
        <v>6</v>
      </c>
      <c r="G113" s="6">
        <v>6</v>
      </c>
      <c r="H113" s="9">
        <v>3932</v>
      </c>
      <c r="I113" s="9">
        <v>3932</v>
      </c>
      <c r="J113" s="6">
        <v>1</v>
      </c>
      <c r="K113" s="6">
        <v>2</v>
      </c>
      <c r="L113" s="6">
        <v>0</v>
      </c>
      <c r="M113" s="6">
        <v>3</v>
      </c>
      <c r="N113" s="10" t="s">
        <v>223</v>
      </c>
    </row>
    <row r="114" spans="1:14" ht="25.5">
      <c r="A114" s="6">
        <v>109</v>
      </c>
      <c r="B114" s="7" t="s">
        <v>224</v>
      </c>
      <c r="C114" s="8">
        <v>180</v>
      </c>
      <c r="D114" s="8">
        <v>180</v>
      </c>
      <c r="E114" s="8">
        <v>1030</v>
      </c>
      <c r="F114" s="6">
        <v>11</v>
      </c>
      <c r="G114" s="6">
        <v>9</v>
      </c>
      <c r="H114" s="9">
        <v>4989</v>
      </c>
      <c r="I114" s="9">
        <v>6319</v>
      </c>
      <c r="J114" s="6">
        <v>3</v>
      </c>
      <c r="K114" s="6">
        <v>2</v>
      </c>
      <c r="L114" s="6">
        <v>1</v>
      </c>
      <c r="M114" s="6">
        <v>3</v>
      </c>
      <c r="N114" s="10" t="s">
        <v>225</v>
      </c>
    </row>
    <row r="115" spans="1:14" ht="25.5">
      <c r="A115" s="6">
        <v>110</v>
      </c>
      <c r="B115" s="7" t="s">
        <v>226</v>
      </c>
      <c r="C115" s="8">
        <v>101.5</v>
      </c>
      <c r="D115" s="8">
        <v>101.5</v>
      </c>
      <c r="E115" s="8">
        <v>1020</v>
      </c>
      <c r="F115" s="6">
        <v>4</v>
      </c>
      <c r="G115" s="6">
        <v>2</v>
      </c>
      <c r="H115" s="9">
        <v>771.5</v>
      </c>
      <c r="I115" s="9">
        <v>2302</v>
      </c>
      <c r="J115" s="6">
        <v>0</v>
      </c>
      <c r="K115" s="6">
        <v>2</v>
      </c>
      <c r="L115" s="6">
        <v>0</v>
      </c>
      <c r="M115" s="6">
        <v>0</v>
      </c>
      <c r="N115" s="10" t="s">
        <v>227</v>
      </c>
    </row>
    <row r="116" spans="1:14" ht="14.25">
      <c r="A116" s="6">
        <v>111</v>
      </c>
      <c r="B116" s="7" t="s">
        <v>228</v>
      </c>
      <c r="C116" s="8">
        <v>247</v>
      </c>
      <c r="D116" s="8">
        <v>247</v>
      </c>
      <c r="E116" s="8">
        <v>1013</v>
      </c>
      <c r="F116" s="6">
        <v>4</v>
      </c>
      <c r="G116" s="6">
        <v>2</v>
      </c>
      <c r="H116" s="9">
        <v>1308</v>
      </c>
      <c r="I116" s="9">
        <v>2568</v>
      </c>
      <c r="J116" s="6">
        <v>0</v>
      </c>
      <c r="K116" s="6">
        <v>2</v>
      </c>
      <c r="L116" s="6">
        <v>0</v>
      </c>
      <c r="M116" s="6">
        <v>0</v>
      </c>
      <c r="N116" s="11"/>
    </row>
    <row r="117" spans="1:14" ht="14.25">
      <c r="A117" s="6">
        <v>112</v>
      </c>
      <c r="B117" s="7" t="s">
        <v>229</v>
      </c>
      <c r="C117" s="8">
        <v>44.5</v>
      </c>
      <c r="D117" s="8">
        <v>44.5</v>
      </c>
      <c r="E117" s="8">
        <v>1001.5</v>
      </c>
      <c r="F117" s="6">
        <v>5</v>
      </c>
      <c r="G117" s="6">
        <v>3</v>
      </c>
      <c r="H117" s="9">
        <v>1647.1</v>
      </c>
      <c r="I117" s="9">
        <v>2693.2</v>
      </c>
      <c r="J117" s="6">
        <v>0</v>
      </c>
      <c r="K117" s="6">
        <v>1</v>
      </c>
      <c r="L117" s="6">
        <v>1</v>
      </c>
      <c r="M117" s="6">
        <v>1</v>
      </c>
      <c r="N117" s="10" t="s">
        <v>230</v>
      </c>
    </row>
    <row r="118" spans="1:14" ht="14.25">
      <c r="A118" s="6">
        <v>113</v>
      </c>
      <c r="B118" s="7" t="s">
        <v>231</v>
      </c>
      <c r="C118" s="8">
        <v>1001</v>
      </c>
      <c r="D118" s="8">
        <v>300</v>
      </c>
      <c r="E118" s="8">
        <v>1001</v>
      </c>
      <c r="F118" s="6">
        <v>1</v>
      </c>
      <c r="G118" s="6">
        <v>1</v>
      </c>
      <c r="H118" s="9">
        <v>1001</v>
      </c>
      <c r="I118" s="9">
        <v>1001</v>
      </c>
      <c r="J118" s="6">
        <v>0</v>
      </c>
      <c r="K118" s="6">
        <v>1</v>
      </c>
      <c r="L118" s="6">
        <v>0</v>
      </c>
      <c r="M118" s="6">
        <v>0</v>
      </c>
      <c r="N118" s="11"/>
    </row>
    <row r="119" spans="1:14" ht="14.25">
      <c r="A119" s="6">
        <v>114</v>
      </c>
      <c r="B119" s="7" t="s">
        <v>232</v>
      </c>
      <c r="C119" s="8">
        <v>500</v>
      </c>
      <c r="D119" s="8">
        <v>300</v>
      </c>
      <c r="E119" s="8">
        <v>1000</v>
      </c>
      <c r="F119" s="6">
        <v>2</v>
      </c>
      <c r="G119" s="6">
        <v>2</v>
      </c>
      <c r="H119" s="9">
        <v>1500</v>
      </c>
      <c r="I119" s="9">
        <v>1500</v>
      </c>
      <c r="J119" s="6">
        <v>1</v>
      </c>
      <c r="K119" s="6">
        <v>1</v>
      </c>
      <c r="L119" s="6">
        <v>0</v>
      </c>
      <c r="M119" s="6">
        <v>0</v>
      </c>
      <c r="N119" s="11"/>
    </row>
    <row r="120" spans="1:14" ht="14.25">
      <c r="A120" s="6">
        <v>115</v>
      </c>
      <c r="B120" s="7" t="s">
        <v>233</v>
      </c>
      <c r="C120" s="8">
        <v>136.5</v>
      </c>
      <c r="D120" s="8">
        <v>136.5</v>
      </c>
      <c r="E120" s="8">
        <v>1000</v>
      </c>
      <c r="F120" s="6">
        <v>3</v>
      </c>
      <c r="G120" s="6">
        <v>2</v>
      </c>
      <c r="H120" s="9">
        <v>722.9</v>
      </c>
      <c r="I120" s="9">
        <v>1722.9</v>
      </c>
      <c r="J120" s="6">
        <v>0</v>
      </c>
      <c r="K120" s="6">
        <v>1</v>
      </c>
      <c r="L120" s="6">
        <v>1</v>
      </c>
      <c r="M120" s="6">
        <v>0</v>
      </c>
      <c r="N120" s="11"/>
    </row>
    <row r="121" spans="1:14" ht="14.25">
      <c r="A121" s="6">
        <v>116</v>
      </c>
      <c r="B121" s="7" t="s">
        <v>234</v>
      </c>
      <c r="C121" s="8">
        <v>215</v>
      </c>
      <c r="D121" s="8">
        <v>215</v>
      </c>
      <c r="E121" s="8">
        <v>1000</v>
      </c>
      <c r="F121" s="6">
        <v>2</v>
      </c>
      <c r="G121" s="6">
        <v>1</v>
      </c>
      <c r="H121" s="9">
        <v>1000</v>
      </c>
      <c r="I121" s="9">
        <v>1215</v>
      </c>
      <c r="J121" s="6">
        <v>1</v>
      </c>
      <c r="K121" s="6">
        <v>0</v>
      </c>
      <c r="L121" s="6">
        <v>0</v>
      </c>
      <c r="M121" s="6">
        <v>0</v>
      </c>
      <c r="N121" s="11"/>
    </row>
    <row r="122" spans="1:14" ht="14.25">
      <c r="A122" s="6">
        <v>117</v>
      </c>
      <c r="B122" s="7" t="s">
        <v>235</v>
      </c>
      <c r="C122" s="8">
        <v>413.3</v>
      </c>
      <c r="D122" s="8">
        <v>300</v>
      </c>
      <c r="E122" s="8">
        <v>1000</v>
      </c>
      <c r="F122" s="6">
        <v>3</v>
      </c>
      <c r="G122" s="6">
        <v>3</v>
      </c>
      <c r="H122" s="9">
        <v>1913.3</v>
      </c>
      <c r="I122" s="9">
        <v>1913.3</v>
      </c>
      <c r="J122" s="6">
        <v>1</v>
      </c>
      <c r="K122" s="6">
        <v>2</v>
      </c>
      <c r="L122" s="6">
        <v>0</v>
      </c>
      <c r="M122" s="6">
        <v>0</v>
      </c>
      <c r="N122" s="10" t="s">
        <v>236</v>
      </c>
    </row>
    <row r="123" spans="1:14" ht="14.25">
      <c r="A123" s="6">
        <v>118</v>
      </c>
      <c r="B123" s="7" t="s">
        <v>237</v>
      </c>
      <c r="C123" s="8">
        <v>86</v>
      </c>
      <c r="D123" s="8">
        <v>86</v>
      </c>
      <c r="E123" s="8">
        <v>1000</v>
      </c>
      <c r="F123" s="6">
        <v>5</v>
      </c>
      <c r="G123" s="6">
        <v>5</v>
      </c>
      <c r="H123" s="9">
        <v>2343</v>
      </c>
      <c r="I123" s="9">
        <v>2343</v>
      </c>
      <c r="J123" s="6">
        <v>2</v>
      </c>
      <c r="K123" s="6">
        <v>1</v>
      </c>
      <c r="L123" s="6">
        <v>1</v>
      </c>
      <c r="M123" s="6">
        <v>1</v>
      </c>
      <c r="N123" s="11"/>
    </row>
    <row r="124" spans="1:14" ht="14.25">
      <c r="A124" s="6">
        <v>119</v>
      </c>
      <c r="B124" s="7" t="s">
        <v>238</v>
      </c>
      <c r="C124" s="8">
        <v>975</v>
      </c>
      <c r="D124" s="8">
        <v>300</v>
      </c>
      <c r="E124" s="8">
        <v>975</v>
      </c>
      <c r="F124" s="6">
        <v>1</v>
      </c>
      <c r="G124" s="6">
        <v>1</v>
      </c>
      <c r="H124" s="9">
        <v>975</v>
      </c>
      <c r="I124" s="9">
        <v>975</v>
      </c>
      <c r="J124" s="6">
        <v>0</v>
      </c>
      <c r="K124" s="6">
        <v>0</v>
      </c>
      <c r="L124" s="6">
        <v>1</v>
      </c>
      <c r="M124" s="6">
        <v>0</v>
      </c>
      <c r="N124" s="11"/>
    </row>
    <row r="125" spans="1:14" ht="14.25">
      <c r="A125" s="6">
        <v>120</v>
      </c>
      <c r="B125" s="7" t="s">
        <v>239</v>
      </c>
      <c r="C125" s="8">
        <v>302.5</v>
      </c>
      <c r="D125" s="8">
        <v>300</v>
      </c>
      <c r="E125" s="8">
        <v>956.4</v>
      </c>
      <c r="F125" s="6">
        <v>3</v>
      </c>
      <c r="G125" s="6">
        <v>3</v>
      </c>
      <c r="H125" s="9">
        <v>1958.9</v>
      </c>
      <c r="I125" s="9">
        <v>1958.9</v>
      </c>
      <c r="J125" s="6">
        <v>0</v>
      </c>
      <c r="K125" s="6">
        <v>3</v>
      </c>
      <c r="L125" s="6">
        <v>0</v>
      </c>
      <c r="M125" s="6">
        <v>0</v>
      </c>
      <c r="N125" s="11"/>
    </row>
    <row r="126" spans="1:14" ht="14.25">
      <c r="A126" s="6">
        <v>121</v>
      </c>
      <c r="B126" s="7" t="s">
        <v>240</v>
      </c>
      <c r="C126" s="8">
        <v>102</v>
      </c>
      <c r="D126" s="8">
        <v>102</v>
      </c>
      <c r="E126" s="8">
        <v>956.4</v>
      </c>
      <c r="F126" s="6">
        <v>6</v>
      </c>
      <c r="G126" s="6">
        <v>3</v>
      </c>
      <c r="H126" s="9">
        <v>2181.4</v>
      </c>
      <c r="I126" s="9">
        <v>2843.4</v>
      </c>
      <c r="J126" s="6">
        <v>1</v>
      </c>
      <c r="K126" s="6">
        <v>1</v>
      </c>
      <c r="L126" s="6">
        <v>1</v>
      </c>
      <c r="M126" s="6">
        <v>0</v>
      </c>
      <c r="N126" s="10" t="s">
        <v>241</v>
      </c>
    </row>
    <row r="127" spans="1:14" ht="25.5">
      <c r="A127" s="6">
        <v>122</v>
      </c>
      <c r="B127" s="7" t="s">
        <v>242</v>
      </c>
      <c r="C127" s="8">
        <v>451</v>
      </c>
      <c r="D127" s="8">
        <v>300</v>
      </c>
      <c r="E127" s="8">
        <v>950</v>
      </c>
      <c r="F127" s="6">
        <v>2</v>
      </c>
      <c r="G127" s="6">
        <v>2</v>
      </c>
      <c r="H127" s="9">
        <v>1401</v>
      </c>
      <c r="I127" s="9">
        <v>1401</v>
      </c>
      <c r="J127" s="6">
        <v>1</v>
      </c>
      <c r="K127" s="6">
        <v>0</v>
      </c>
      <c r="L127" s="6">
        <v>1</v>
      </c>
      <c r="M127" s="6">
        <v>0</v>
      </c>
      <c r="N127" s="10" t="s">
        <v>243</v>
      </c>
    </row>
    <row r="128" spans="1:14" ht="14.25">
      <c r="A128" s="6">
        <v>123</v>
      </c>
      <c r="B128" s="7" t="s">
        <v>244</v>
      </c>
      <c r="C128" s="8">
        <v>360</v>
      </c>
      <c r="D128" s="8">
        <v>300</v>
      </c>
      <c r="E128" s="8">
        <v>950</v>
      </c>
      <c r="F128" s="6">
        <v>9</v>
      </c>
      <c r="G128" s="6">
        <v>3</v>
      </c>
      <c r="H128" s="9">
        <v>2143.3000000000002</v>
      </c>
      <c r="I128" s="9">
        <v>5950.8</v>
      </c>
      <c r="J128" s="6">
        <v>1</v>
      </c>
      <c r="K128" s="6">
        <v>1</v>
      </c>
      <c r="L128" s="6">
        <v>1</v>
      </c>
      <c r="M128" s="6">
        <v>0</v>
      </c>
      <c r="N128" s="11"/>
    </row>
    <row r="129" spans="1:14" ht="14.25">
      <c r="A129" s="6">
        <v>124</v>
      </c>
      <c r="B129" s="7" t="s">
        <v>245</v>
      </c>
      <c r="C129" s="8">
        <v>365</v>
      </c>
      <c r="D129" s="8">
        <v>300</v>
      </c>
      <c r="E129" s="8">
        <v>915</v>
      </c>
      <c r="F129" s="6">
        <v>2</v>
      </c>
      <c r="G129" s="6">
        <v>1</v>
      </c>
      <c r="H129" s="9">
        <v>915</v>
      </c>
      <c r="I129" s="9">
        <v>1280</v>
      </c>
      <c r="J129" s="6">
        <v>1</v>
      </c>
      <c r="K129" s="6">
        <v>0</v>
      </c>
      <c r="L129" s="6">
        <v>0</v>
      </c>
      <c r="M129" s="6">
        <v>0</v>
      </c>
      <c r="N129" s="10" t="s">
        <v>246</v>
      </c>
    </row>
    <row r="130" spans="1:14" ht="14.25">
      <c r="A130" s="6">
        <v>125</v>
      </c>
      <c r="B130" s="7" t="s">
        <v>247</v>
      </c>
      <c r="C130" s="8">
        <v>80</v>
      </c>
      <c r="D130" s="8">
        <v>80</v>
      </c>
      <c r="E130" s="8">
        <v>900</v>
      </c>
      <c r="F130" s="6">
        <v>4</v>
      </c>
      <c r="G130" s="6">
        <v>4</v>
      </c>
      <c r="H130" s="9">
        <v>1596.7</v>
      </c>
      <c r="I130" s="9">
        <v>1596.7</v>
      </c>
      <c r="J130" s="6">
        <v>0</v>
      </c>
      <c r="K130" s="6">
        <v>0</v>
      </c>
      <c r="L130" s="6">
        <v>2</v>
      </c>
      <c r="M130" s="6">
        <v>2</v>
      </c>
      <c r="N130" s="11"/>
    </row>
    <row r="131" spans="1:14" ht="14.25">
      <c r="A131" s="6">
        <v>126</v>
      </c>
      <c r="B131" s="7" t="s">
        <v>248</v>
      </c>
      <c r="C131" s="8">
        <v>900</v>
      </c>
      <c r="D131" s="8">
        <v>300</v>
      </c>
      <c r="E131" s="8">
        <v>900</v>
      </c>
      <c r="F131" s="6">
        <v>1</v>
      </c>
      <c r="G131" s="6">
        <v>1</v>
      </c>
      <c r="H131" s="9">
        <v>900</v>
      </c>
      <c r="I131" s="9">
        <v>900</v>
      </c>
      <c r="J131" s="6">
        <v>0</v>
      </c>
      <c r="K131" s="6">
        <v>0</v>
      </c>
      <c r="L131" s="6">
        <v>0</v>
      </c>
      <c r="M131" s="6">
        <v>1</v>
      </c>
      <c r="N131" s="11"/>
    </row>
    <row r="132" spans="1:14" ht="14.25">
      <c r="A132" s="6">
        <v>127</v>
      </c>
      <c r="B132" s="7" t="s">
        <v>249</v>
      </c>
      <c r="C132" s="8">
        <v>295</v>
      </c>
      <c r="D132" s="8">
        <v>295</v>
      </c>
      <c r="E132" s="8">
        <v>865</v>
      </c>
      <c r="F132" s="6">
        <v>5</v>
      </c>
      <c r="G132" s="6">
        <v>4</v>
      </c>
      <c r="H132" s="9">
        <v>2090</v>
      </c>
      <c r="I132" s="9">
        <v>2590</v>
      </c>
      <c r="J132" s="6">
        <v>2</v>
      </c>
      <c r="K132" s="6">
        <v>1</v>
      </c>
      <c r="L132" s="6">
        <v>1</v>
      </c>
      <c r="M132" s="6">
        <v>0</v>
      </c>
      <c r="N132" s="11" t="s">
        <v>250</v>
      </c>
    </row>
    <row r="133" spans="1:14" ht="14.25">
      <c r="A133" s="6">
        <v>128</v>
      </c>
      <c r="B133" s="7" t="s">
        <v>251</v>
      </c>
      <c r="C133" s="8">
        <v>865</v>
      </c>
      <c r="D133" s="8">
        <v>300</v>
      </c>
      <c r="E133" s="8">
        <v>865</v>
      </c>
      <c r="F133" s="6">
        <v>1</v>
      </c>
      <c r="G133" s="6">
        <v>1</v>
      </c>
      <c r="H133" s="9">
        <v>865</v>
      </c>
      <c r="I133" s="9">
        <v>865</v>
      </c>
      <c r="J133" s="6">
        <v>1</v>
      </c>
      <c r="K133" s="6">
        <v>0</v>
      </c>
      <c r="L133" s="6">
        <v>0</v>
      </c>
      <c r="M133" s="6">
        <v>0</v>
      </c>
      <c r="N133" s="11"/>
    </row>
    <row r="134" spans="1:14" ht="14.25">
      <c r="A134" s="6">
        <v>129</v>
      </c>
      <c r="B134" s="7" t="s">
        <v>252</v>
      </c>
      <c r="C134" s="8">
        <v>31</v>
      </c>
      <c r="D134" s="8">
        <v>31</v>
      </c>
      <c r="E134" s="8">
        <v>855</v>
      </c>
      <c r="F134" s="6">
        <v>5</v>
      </c>
      <c r="G134" s="6">
        <v>5</v>
      </c>
      <c r="H134" s="9">
        <v>1226</v>
      </c>
      <c r="I134" s="9">
        <v>1226</v>
      </c>
      <c r="J134" s="6">
        <v>2</v>
      </c>
      <c r="K134" s="6">
        <v>2</v>
      </c>
      <c r="L134" s="6">
        <v>1</v>
      </c>
      <c r="M134" s="6">
        <v>0</v>
      </c>
      <c r="N134" s="10" t="s">
        <v>253</v>
      </c>
    </row>
    <row r="135" spans="1:14" ht="25.5">
      <c r="A135" s="6">
        <v>130</v>
      </c>
      <c r="B135" s="7" t="s">
        <v>254</v>
      </c>
      <c r="C135" s="8">
        <v>120</v>
      </c>
      <c r="D135" s="8">
        <v>120</v>
      </c>
      <c r="E135" s="8">
        <v>850</v>
      </c>
      <c r="F135" s="6">
        <v>3</v>
      </c>
      <c r="G135" s="6">
        <v>2</v>
      </c>
      <c r="H135" s="9">
        <v>1600</v>
      </c>
      <c r="I135" s="9">
        <v>1720</v>
      </c>
      <c r="J135" s="6">
        <v>0</v>
      </c>
      <c r="K135" s="6">
        <v>1</v>
      </c>
      <c r="L135" s="6">
        <v>1</v>
      </c>
      <c r="M135" s="6">
        <v>0</v>
      </c>
      <c r="N135" s="11" t="s">
        <v>255</v>
      </c>
    </row>
    <row r="136" spans="1:14" ht="14.25">
      <c r="A136" s="6">
        <v>131</v>
      </c>
      <c r="B136" s="7" t="s">
        <v>256</v>
      </c>
      <c r="C136" s="8">
        <v>79</v>
      </c>
      <c r="D136" s="8">
        <v>79</v>
      </c>
      <c r="E136" s="8">
        <v>835</v>
      </c>
      <c r="F136" s="6">
        <v>3</v>
      </c>
      <c r="G136" s="6">
        <v>1</v>
      </c>
      <c r="H136" s="9">
        <v>79</v>
      </c>
      <c r="I136" s="9">
        <v>1019</v>
      </c>
      <c r="J136" s="6">
        <v>1</v>
      </c>
      <c r="K136" s="6">
        <v>0</v>
      </c>
      <c r="L136" s="6">
        <v>0</v>
      </c>
      <c r="M136" s="6">
        <v>0</v>
      </c>
      <c r="N136" s="11"/>
    </row>
    <row r="137" spans="1:14" ht="25.5">
      <c r="A137" s="6">
        <v>132</v>
      </c>
      <c r="B137" s="7" t="s">
        <v>257</v>
      </c>
      <c r="C137" s="8">
        <v>12.7</v>
      </c>
      <c r="D137" s="8">
        <v>12.7</v>
      </c>
      <c r="E137" s="8">
        <v>818.3</v>
      </c>
      <c r="F137" s="6">
        <v>4</v>
      </c>
      <c r="G137" s="6">
        <v>2</v>
      </c>
      <c r="H137" s="9">
        <v>896.6</v>
      </c>
      <c r="I137" s="9">
        <v>1541.8</v>
      </c>
      <c r="J137" s="6">
        <v>2</v>
      </c>
      <c r="K137" s="6">
        <v>0</v>
      </c>
      <c r="L137" s="6">
        <v>0</v>
      </c>
      <c r="M137" s="6">
        <v>0</v>
      </c>
      <c r="N137" s="10" t="s">
        <v>258</v>
      </c>
    </row>
    <row r="138" spans="1:14" ht="25.5">
      <c r="A138" s="6">
        <v>133</v>
      </c>
      <c r="B138" s="7" t="s">
        <v>259</v>
      </c>
      <c r="C138" s="8">
        <v>2.1</v>
      </c>
      <c r="D138" s="8">
        <v>2.1</v>
      </c>
      <c r="E138" s="8">
        <v>805</v>
      </c>
      <c r="F138" s="6">
        <v>12</v>
      </c>
      <c r="G138" s="6">
        <v>12</v>
      </c>
      <c r="H138" s="9">
        <v>3484.2</v>
      </c>
      <c r="I138" s="9">
        <v>3484.2</v>
      </c>
      <c r="J138" s="6">
        <v>9</v>
      </c>
      <c r="K138" s="6">
        <v>0</v>
      </c>
      <c r="L138" s="6">
        <v>3</v>
      </c>
      <c r="M138" s="6">
        <v>0</v>
      </c>
      <c r="N138" s="10" t="s">
        <v>260</v>
      </c>
    </row>
    <row r="139" spans="1:14" ht="14.25">
      <c r="A139" s="6">
        <v>134</v>
      </c>
      <c r="B139" s="7" t="s">
        <v>261</v>
      </c>
      <c r="C139" s="8">
        <v>21</v>
      </c>
      <c r="D139" s="8">
        <v>21</v>
      </c>
      <c r="E139" s="8">
        <v>797</v>
      </c>
      <c r="F139" s="6">
        <v>3</v>
      </c>
      <c r="G139" s="6">
        <v>3</v>
      </c>
      <c r="H139" s="9">
        <v>936</v>
      </c>
      <c r="I139" s="9">
        <v>936</v>
      </c>
      <c r="J139" s="6">
        <v>1</v>
      </c>
      <c r="K139" s="6">
        <v>1</v>
      </c>
      <c r="L139" s="6">
        <v>0</v>
      </c>
      <c r="M139" s="6">
        <v>1</v>
      </c>
      <c r="N139" s="10" t="s">
        <v>262</v>
      </c>
    </row>
    <row r="140" spans="1:14" ht="25.5">
      <c r="A140" s="6">
        <v>135</v>
      </c>
      <c r="B140" s="7" t="s">
        <v>263</v>
      </c>
      <c r="C140" s="8">
        <v>106</v>
      </c>
      <c r="D140" s="8">
        <v>106</v>
      </c>
      <c r="E140" s="8">
        <v>793</v>
      </c>
      <c r="F140" s="6">
        <v>5</v>
      </c>
      <c r="G140" s="6">
        <v>4</v>
      </c>
      <c r="H140" s="9">
        <v>540.1</v>
      </c>
      <c r="I140" s="9">
        <v>1333.1</v>
      </c>
      <c r="J140" s="6">
        <v>3</v>
      </c>
      <c r="K140" s="6">
        <v>0</v>
      </c>
      <c r="L140" s="6">
        <v>1</v>
      </c>
      <c r="M140" s="6">
        <v>0</v>
      </c>
      <c r="N140" s="10" t="s">
        <v>264</v>
      </c>
    </row>
    <row r="141" spans="1:14" ht="14.25">
      <c r="A141" s="6">
        <v>136</v>
      </c>
      <c r="B141" s="7" t="s">
        <v>265</v>
      </c>
      <c r="C141" s="8">
        <v>101.5</v>
      </c>
      <c r="D141" s="8">
        <v>101.5</v>
      </c>
      <c r="E141" s="8">
        <v>790</v>
      </c>
      <c r="F141" s="6">
        <v>6</v>
      </c>
      <c r="G141" s="6">
        <v>3</v>
      </c>
      <c r="H141" s="9">
        <v>1059.8</v>
      </c>
      <c r="I141" s="9">
        <v>1579.8</v>
      </c>
      <c r="J141" s="6">
        <v>2</v>
      </c>
      <c r="K141" s="6">
        <v>1</v>
      </c>
      <c r="L141" s="6">
        <v>0</v>
      </c>
      <c r="M141" s="6">
        <v>0</v>
      </c>
      <c r="N141" s="11"/>
    </row>
    <row r="142" spans="1:14" ht="14.25">
      <c r="A142" s="6">
        <v>137</v>
      </c>
      <c r="B142" s="7" t="s">
        <v>266</v>
      </c>
      <c r="C142" s="8">
        <v>22.8</v>
      </c>
      <c r="D142" s="8">
        <v>22.8</v>
      </c>
      <c r="E142" s="8">
        <v>771</v>
      </c>
      <c r="F142" s="6">
        <v>13</v>
      </c>
      <c r="G142" s="6">
        <v>9</v>
      </c>
      <c r="H142" s="9">
        <v>2744.3</v>
      </c>
      <c r="I142" s="9">
        <v>3231.1</v>
      </c>
      <c r="J142" s="6">
        <v>4</v>
      </c>
      <c r="K142" s="6">
        <v>1</v>
      </c>
      <c r="L142" s="6">
        <v>1</v>
      </c>
      <c r="M142" s="6">
        <v>3</v>
      </c>
      <c r="N142" s="11" t="s">
        <v>267</v>
      </c>
    </row>
    <row r="143" spans="1:14" ht="14.25">
      <c r="A143" s="6">
        <v>138</v>
      </c>
      <c r="B143" s="7" t="s">
        <v>268</v>
      </c>
      <c r="C143" s="8">
        <v>435</v>
      </c>
      <c r="D143" s="8">
        <v>300</v>
      </c>
      <c r="E143" s="8">
        <v>765</v>
      </c>
      <c r="F143" s="6">
        <v>3</v>
      </c>
      <c r="G143" s="6">
        <v>2</v>
      </c>
      <c r="H143" s="9">
        <v>1200</v>
      </c>
      <c r="I143" s="9">
        <v>1651.3</v>
      </c>
      <c r="J143" s="6">
        <v>0</v>
      </c>
      <c r="K143" s="6">
        <v>1</v>
      </c>
      <c r="L143" s="6">
        <v>0</v>
      </c>
      <c r="M143" s="6">
        <v>1</v>
      </c>
      <c r="N143" s="10" t="s">
        <v>269</v>
      </c>
    </row>
    <row r="144" spans="1:14" ht="14.25">
      <c r="A144" s="6">
        <v>139</v>
      </c>
      <c r="B144" s="7" t="s">
        <v>270</v>
      </c>
      <c r="C144" s="8">
        <v>355</v>
      </c>
      <c r="D144" s="8">
        <v>300</v>
      </c>
      <c r="E144" s="8">
        <v>765</v>
      </c>
      <c r="F144" s="6">
        <v>2</v>
      </c>
      <c r="G144" s="6">
        <v>1</v>
      </c>
      <c r="H144" s="9">
        <v>355</v>
      </c>
      <c r="I144" s="9">
        <v>1120</v>
      </c>
      <c r="J144" s="6">
        <v>1</v>
      </c>
      <c r="K144" s="6">
        <v>0</v>
      </c>
      <c r="L144" s="6">
        <v>0</v>
      </c>
      <c r="M144" s="6">
        <v>0</v>
      </c>
      <c r="N144" s="11"/>
    </row>
    <row r="145" spans="1:14" ht="14.25">
      <c r="A145" s="6">
        <v>140</v>
      </c>
      <c r="B145" s="7" t="s">
        <v>271</v>
      </c>
      <c r="C145" s="8">
        <v>371</v>
      </c>
      <c r="D145" s="8">
        <v>300</v>
      </c>
      <c r="E145" s="8">
        <v>765</v>
      </c>
      <c r="F145" s="6">
        <v>2</v>
      </c>
      <c r="G145" s="6">
        <v>1</v>
      </c>
      <c r="H145" s="9">
        <v>765</v>
      </c>
      <c r="I145" s="9">
        <v>1136</v>
      </c>
      <c r="J145" s="6">
        <v>0</v>
      </c>
      <c r="K145" s="6">
        <v>0</v>
      </c>
      <c r="L145" s="6">
        <v>0</v>
      </c>
      <c r="M145" s="6">
        <v>1</v>
      </c>
      <c r="N145" s="11"/>
    </row>
    <row r="146" spans="1:14" ht="25.5">
      <c r="A146" s="6">
        <v>141</v>
      </c>
      <c r="B146" s="7" t="s">
        <v>272</v>
      </c>
      <c r="C146" s="8">
        <v>62.7</v>
      </c>
      <c r="D146" s="8">
        <v>62.7</v>
      </c>
      <c r="E146" s="8">
        <v>754</v>
      </c>
      <c r="F146" s="6">
        <v>2</v>
      </c>
      <c r="G146" s="6">
        <v>1</v>
      </c>
      <c r="H146" s="9">
        <v>754</v>
      </c>
      <c r="I146" s="9">
        <v>816.7</v>
      </c>
      <c r="J146" s="6">
        <v>1</v>
      </c>
      <c r="K146" s="6">
        <v>0</v>
      </c>
      <c r="L146" s="6">
        <v>0</v>
      </c>
      <c r="M146" s="6">
        <v>0</v>
      </c>
      <c r="N146" s="10" t="s">
        <v>273</v>
      </c>
    </row>
    <row r="147" spans="1:14" ht="14.25">
      <c r="A147" s="6">
        <v>142</v>
      </c>
      <c r="B147" s="7" t="s">
        <v>274</v>
      </c>
      <c r="C147" s="8">
        <v>200</v>
      </c>
      <c r="D147" s="8">
        <v>200</v>
      </c>
      <c r="E147" s="8">
        <v>750</v>
      </c>
      <c r="F147" s="6">
        <v>2</v>
      </c>
      <c r="G147" s="6">
        <v>1</v>
      </c>
      <c r="H147" s="9">
        <v>750</v>
      </c>
      <c r="I147" s="9">
        <v>950</v>
      </c>
      <c r="J147" s="6">
        <v>0</v>
      </c>
      <c r="K147" s="6">
        <v>1</v>
      </c>
      <c r="L147" s="6">
        <v>0</v>
      </c>
      <c r="M147" s="6">
        <v>0</v>
      </c>
      <c r="N147" s="10" t="s">
        <v>275</v>
      </c>
    </row>
    <row r="148" spans="1:14" ht="14.25">
      <c r="A148" s="6">
        <v>143</v>
      </c>
      <c r="B148" s="7" t="s">
        <v>276</v>
      </c>
      <c r="C148" s="8">
        <v>740</v>
      </c>
      <c r="D148" s="8">
        <v>300</v>
      </c>
      <c r="E148" s="8">
        <v>740</v>
      </c>
      <c r="F148" s="6">
        <v>1</v>
      </c>
      <c r="G148" s="6">
        <v>1</v>
      </c>
      <c r="H148" s="9">
        <v>740</v>
      </c>
      <c r="I148" s="9">
        <v>740</v>
      </c>
      <c r="J148" s="6">
        <v>0</v>
      </c>
      <c r="K148" s="6">
        <v>0</v>
      </c>
      <c r="L148" s="6">
        <v>0</v>
      </c>
      <c r="M148" s="6">
        <v>1</v>
      </c>
      <c r="N148" s="11"/>
    </row>
    <row r="149" spans="1:14" ht="14.25">
      <c r="A149" s="6">
        <v>144</v>
      </c>
      <c r="B149" s="7" t="s">
        <v>277</v>
      </c>
      <c r="C149" s="8">
        <v>44.5</v>
      </c>
      <c r="D149" s="8">
        <v>44.5</v>
      </c>
      <c r="E149" s="8">
        <v>730.5</v>
      </c>
      <c r="F149" s="6">
        <v>3</v>
      </c>
      <c r="G149" s="6">
        <v>1</v>
      </c>
      <c r="H149" s="9">
        <v>730.5</v>
      </c>
      <c r="I149" s="9">
        <v>886</v>
      </c>
      <c r="J149" s="6">
        <v>1</v>
      </c>
      <c r="K149" s="6">
        <v>0</v>
      </c>
      <c r="L149" s="6">
        <v>0</v>
      </c>
      <c r="M149" s="6">
        <v>0</v>
      </c>
      <c r="N149" s="10" t="s">
        <v>278</v>
      </c>
    </row>
    <row r="150" spans="1:14" ht="14.25">
      <c r="A150" s="6">
        <v>145</v>
      </c>
      <c r="B150" s="7" t="s">
        <v>279</v>
      </c>
      <c r="C150" s="8">
        <v>730.5</v>
      </c>
      <c r="D150" s="8">
        <v>300</v>
      </c>
      <c r="E150" s="8">
        <v>730.5</v>
      </c>
      <c r="F150" s="6">
        <v>1</v>
      </c>
      <c r="G150" s="6">
        <v>1</v>
      </c>
      <c r="H150" s="9">
        <v>730.5</v>
      </c>
      <c r="I150" s="9">
        <v>730.5</v>
      </c>
      <c r="J150" s="6">
        <v>1</v>
      </c>
      <c r="K150" s="6">
        <v>0</v>
      </c>
      <c r="L150" s="6">
        <v>0</v>
      </c>
      <c r="M150" s="6">
        <v>0</v>
      </c>
      <c r="N150" s="11"/>
    </row>
    <row r="151" spans="1:14" ht="25.5">
      <c r="A151" s="6">
        <v>146</v>
      </c>
      <c r="B151" s="7" t="s">
        <v>280</v>
      </c>
      <c r="C151" s="8">
        <v>66</v>
      </c>
      <c r="D151" s="8">
        <v>66</v>
      </c>
      <c r="E151" s="8">
        <v>730</v>
      </c>
      <c r="F151" s="6">
        <v>3</v>
      </c>
      <c r="G151" s="6">
        <v>3</v>
      </c>
      <c r="H151" s="9">
        <v>875.6</v>
      </c>
      <c r="I151" s="9">
        <v>875.6</v>
      </c>
      <c r="J151" s="6">
        <v>0</v>
      </c>
      <c r="K151" s="6">
        <v>0</v>
      </c>
      <c r="L151" s="6">
        <v>1</v>
      </c>
      <c r="M151" s="6">
        <v>2</v>
      </c>
      <c r="N151" s="10" t="s">
        <v>281</v>
      </c>
    </row>
    <row r="152" spans="1:14" ht="14.25">
      <c r="A152" s="6">
        <v>147</v>
      </c>
      <c r="B152" s="7" t="s">
        <v>282</v>
      </c>
      <c r="C152" s="8">
        <v>71.8</v>
      </c>
      <c r="D152" s="8">
        <v>71.8</v>
      </c>
      <c r="E152" s="8">
        <v>725</v>
      </c>
      <c r="F152" s="6">
        <v>11</v>
      </c>
      <c r="G152" s="6">
        <v>11</v>
      </c>
      <c r="H152" s="9">
        <v>3156.5</v>
      </c>
      <c r="I152" s="9">
        <v>3156.5</v>
      </c>
      <c r="J152" s="6">
        <v>5</v>
      </c>
      <c r="K152" s="6">
        <v>2</v>
      </c>
      <c r="L152" s="6">
        <v>2</v>
      </c>
      <c r="M152" s="6">
        <v>2</v>
      </c>
      <c r="N152" s="10" t="s">
        <v>283</v>
      </c>
    </row>
    <row r="153" spans="1:14" ht="25.5">
      <c r="A153" s="6">
        <v>148</v>
      </c>
      <c r="B153" s="7" t="s">
        <v>284</v>
      </c>
      <c r="C153" s="8">
        <v>58</v>
      </c>
      <c r="D153" s="8">
        <v>58</v>
      </c>
      <c r="E153" s="8">
        <v>720</v>
      </c>
      <c r="F153" s="6">
        <v>3</v>
      </c>
      <c r="G153" s="6">
        <v>2</v>
      </c>
      <c r="H153" s="9">
        <v>1020</v>
      </c>
      <c r="I153" s="9">
        <v>1078</v>
      </c>
      <c r="J153" s="6">
        <v>1</v>
      </c>
      <c r="K153" s="6">
        <v>0</v>
      </c>
      <c r="L153" s="6">
        <v>1</v>
      </c>
      <c r="M153" s="6">
        <v>0</v>
      </c>
      <c r="N153" s="10" t="s">
        <v>285</v>
      </c>
    </row>
    <row r="154" spans="1:14" ht="14.25">
      <c r="A154" s="6">
        <v>149</v>
      </c>
      <c r="B154" s="7" t="s">
        <v>286</v>
      </c>
      <c r="C154" s="8">
        <v>40.799999999999997</v>
      </c>
      <c r="D154" s="8">
        <v>40.799999999999997</v>
      </c>
      <c r="E154" s="8">
        <v>700</v>
      </c>
      <c r="F154" s="6">
        <v>4</v>
      </c>
      <c r="G154" s="6">
        <v>1</v>
      </c>
      <c r="H154" s="9">
        <v>40.799999999999997</v>
      </c>
      <c r="I154" s="9">
        <v>1470.8</v>
      </c>
      <c r="J154" s="6">
        <v>1</v>
      </c>
      <c r="K154" s="6">
        <v>0</v>
      </c>
      <c r="L154" s="6">
        <v>0</v>
      </c>
      <c r="M154" s="6">
        <v>0</v>
      </c>
      <c r="N154" s="10" t="s">
        <v>287</v>
      </c>
    </row>
    <row r="155" spans="1:14" ht="14.25">
      <c r="A155" s="6">
        <v>150</v>
      </c>
      <c r="B155" s="7" t="s">
        <v>288</v>
      </c>
      <c r="C155" s="8">
        <v>525</v>
      </c>
      <c r="D155" s="8">
        <v>300</v>
      </c>
      <c r="E155" s="8">
        <v>700</v>
      </c>
      <c r="F155" s="6">
        <v>3</v>
      </c>
      <c r="G155" s="6">
        <v>1</v>
      </c>
      <c r="H155" s="9">
        <v>637.5</v>
      </c>
      <c r="I155" s="9">
        <v>1862.5</v>
      </c>
      <c r="J155" s="6">
        <v>1</v>
      </c>
      <c r="K155" s="6">
        <v>0</v>
      </c>
      <c r="L155" s="6">
        <v>0</v>
      </c>
      <c r="M155" s="6">
        <v>0</v>
      </c>
      <c r="N155" s="11"/>
    </row>
    <row r="156" spans="1:14" ht="14.25">
      <c r="A156" s="6">
        <v>151</v>
      </c>
      <c r="B156" s="7" t="s">
        <v>289</v>
      </c>
      <c r="C156" s="8">
        <v>101.5</v>
      </c>
      <c r="D156" s="8">
        <v>101.5</v>
      </c>
      <c r="E156" s="8">
        <v>697.1</v>
      </c>
      <c r="F156" s="6">
        <v>6</v>
      </c>
      <c r="G156" s="6">
        <v>2</v>
      </c>
      <c r="H156" s="9">
        <v>661.5</v>
      </c>
      <c r="I156" s="9">
        <v>2072.4</v>
      </c>
      <c r="J156" s="6">
        <v>0</v>
      </c>
      <c r="K156" s="6">
        <v>1</v>
      </c>
      <c r="L156" s="6">
        <v>0</v>
      </c>
      <c r="M156" s="6">
        <v>1</v>
      </c>
      <c r="N156" s="11"/>
    </row>
    <row r="157" spans="1:14" ht="14.25">
      <c r="A157" s="6">
        <v>152</v>
      </c>
      <c r="B157" s="7" t="s">
        <v>290</v>
      </c>
      <c r="C157" s="8">
        <v>107</v>
      </c>
      <c r="D157" s="8">
        <v>107</v>
      </c>
      <c r="E157" s="8">
        <v>667</v>
      </c>
      <c r="F157" s="6">
        <v>6</v>
      </c>
      <c r="G157" s="6">
        <v>5</v>
      </c>
      <c r="H157" s="9">
        <v>1268</v>
      </c>
      <c r="I157" s="9">
        <v>1623</v>
      </c>
      <c r="J157" s="6">
        <v>3</v>
      </c>
      <c r="K157" s="6">
        <v>0</v>
      </c>
      <c r="L157" s="6">
        <v>1</v>
      </c>
      <c r="M157" s="6">
        <v>1</v>
      </c>
      <c r="N157" s="11" t="s">
        <v>291</v>
      </c>
    </row>
    <row r="158" spans="1:14" ht="14.25">
      <c r="A158" s="6">
        <v>153</v>
      </c>
      <c r="B158" s="7" t="s">
        <v>292</v>
      </c>
      <c r="C158" s="8">
        <v>51</v>
      </c>
      <c r="D158" s="8">
        <v>51</v>
      </c>
      <c r="E158" s="8">
        <v>661</v>
      </c>
      <c r="F158" s="6">
        <v>4</v>
      </c>
      <c r="G158" s="6">
        <v>4</v>
      </c>
      <c r="H158" s="9">
        <v>1280.5</v>
      </c>
      <c r="I158" s="9">
        <v>1280.5</v>
      </c>
      <c r="J158" s="6">
        <v>2</v>
      </c>
      <c r="K158" s="6">
        <v>1</v>
      </c>
      <c r="L158" s="6">
        <v>1</v>
      </c>
      <c r="M158" s="6">
        <v>0</v>
      </c>
      <c r="N158" s="10" t="s">
        <v>293</v>
      </c>
    </row>
    <row r="159" spans="1:14" ht="14.25">
      <c r="A159" s="6">
        <v>154</v>
      </c>
      <c r="B159" s="7" t="s">
        <v>294</v>
      </c>
      <c r="C159" s="8">
        <v>130</v>
      </c>
      <c r="D159" s="8">
        <v>130</v>
      </c>
      <c r="E159" s="8">
        <v>660</v>
      </c>
      <c r="F159" s="6">
        <v>2</v>
      </c>
      <c r="G159" s="6">
        <v>2</v>
      </c>
      <c r="H159" s="9">
        <v>790</v>
      </c>
      <c r="I159" s="9">
        <v>790</v>
      </c>
      <c r="J159" s="6">
        <v>2</v>
      </c>
      <c r="K159" s="6">
        <v>0</v>
      </c>
      <c r="L159" s="6">
        <v>0</v>
      </c>
      <c r="M159" s="6">
        <v>0</v>
      </c>
      <c r="N159" s="11"/>
    </row>
    <row r="160" spans="1:14" ht="14.25">
      <c r="A160" s="6">
        <v>155</v>
      </c>
      <c r="B160" s="7" t="s">
        <v>295</v>
      </c>
      <c r="C160" s="8">
        <v>83</v>
      </c>
      <c r="D160" s="8">
        <v>83</v>
      </c>
      <c r="E160" s="8">
        <v>660</v>
      </c>
      <c r="F160" s="6">
        <v>3</v>
      </c>
      <c r="G160" s="6">
        <v>2</v>
      </c>
      <c r="H160" s="9">
        <v>743</v>
      </c>
      <c r="I160" s="9">
        <v>943</v>
      </c>
      <c r="J160" s="6">
        <v>1</v>
      </c>
      <c r="K160" s="6">
        <v>1</v>
      </c>
      <c r="L160" s="6">
        <v>0</v>
      </c>
      <c r="M160" s="6">
        <v>0</v>
      </c>
      <c r="N160" s="11"/>
    </row>
    <row r="161" spans="1:14" ht="14.25">
      <c r="A161" s="6">
        <v>156</v>
      </c>
      <c r="B161" s="7" t="s">
        <v>296</v>
      </c>
      <c r="C161" s="8">
        <v>653</v>
      </c>
      <c r="D161" s="8">
        <v>300</v>
      </c>
      <c r="E161" s="8">
        <v>653</v>
      </c>
      <c r="F161" s="6">
        <v>1</v>
      </c>
      <c r="G161" s="6">
        <v>1</v>
      </c>
      <c r="H161" s="9">
        <v>653</v>
      </c>
      <c r="I161" s="9">
        <v>653</v>
      </c>
      <c r="J161" s="6">
        <v>1</v>
      </c>
      <c r="K161" s="6">
        <v>0</v>
      </c>
      <c r="L161" s="6">
        <v>0</v>
      </c>
      <c r="M161" s="6">
        <v>0</v>
      </c>
      <c r="N161" s="11"/>
    </row>
    <row r="162" spans="1:14" ht="14.25">
      <c r="A162" s="6">
        <v>157</v>
      </c>
      <c r="B162" s="7" t="s">
        <v>297</v>
      </c>
      <c r="C162" s="8">
        <v>111</v>
      </c>
      <c r="D162" s="8">
        <v>111</v>
      </c>
      <c r="E162" s="8">
        <v>635</v>
      </c>
      <c r="F162" s="6">
        <v>2</v>
      </c>
      <c r="G162" s="6">
        <v>2</v>
      </c>
      <c r="H162" s="9">
        <v>746</v>
      </c>
      <c r="I162" s="9">
        <v>746</v>
      </c>
      <c r="J162" s="6">
        <v>1</v>
      </c>
      <c r="K162" s="6">
        <v>1</v>
      </c>
      <c r="L162" s="6">
        <v>0</v>
      </c>
      <c r="M162" s="6">
        <v>0</v>
      </c>
      <c r="N162" s="11"/>
    </row>
    <row r="163" spans="1:14" ht="14.25">
      <c r="A163" s="6">
        <v>158</v>
      </c>
      <c r="B163" s="7" t="s">
        <v>298</v>
      </c>
      <c r="C163" s="8">
        <v>600</v>
      </c>
      <c r="D163" s="8">
        <v>300</v>
      </c>
      <c r="E163" s="8">
        <v>625</v>
      </c>
      <c r="F163" s="6">
        <v>2</v>
      </c>
      <c r="G163" s="6">
        <v>2</v>
      </c>
      <c r="H163" s="9">
        <v>1225</v>
      </c>
      <c r="I163" s="9">
        <v>1225</v>
      </c>
      <c r="J163" s="6">
        <v>1</v>
      </c>
      <c r="K163" s="6">
        <v>0</v>
      </c>
      <c r="L163" s="6">
        <v>0</v>
      </c>
      <c r="M163" s="6">
        <v>1</v>
      </c>
      <c r="N163" s="11"/>
    </row>
    <row r="164" spans="1:14" ht="14.25">
      <c r="A164" s="6">
        <v>159</v>
      </c>
      <c r="B164" s="7" t="s">
        <v>299</v>
      </c>
      <c r="C164" s="8">
        <v>43</v>
      </c>
      <c r="D164" s="8">
        <v>43</v>
      </c>
      <c r="E164" s="8">
        <v>611</v>
      </c>
      <c r="F164" s="6">
        <v>6</v>
      </c>
      <c r="G164" s="6">
        <v>3</v>
      </c>
      <c r="H164" s="9">
        <v>695</v>
      </c>
      <c r="I164" s="9">
        <v>1559</v>
      </c>
      <c r="J164" s="6">
        <v>2</v>
      </c>
      <c r="K164" s="6">
        <v>0</v>
      </c>
      <c r="L164" s="6">
        <v>1</v>
      </c>
      <c r="M164" s="6">
        <v>0</v>
      </c>
      <c r="N164" s="11"/>
    </row>
    <row r="165" spans="1:14" ht="14.25">
      <c r="A165" s="6">
        <v>160</v>
      </c>
      <c r="B165" s="7" t="s">
        <v>300</v>
      </c>
      <c r="C165" s="8">
        <v>610</v>
      </c>
      <c r="D165" s="8">
        <v>300</v>
      </c>
      <c r="E165" s="8">
        <v>610</v>
      </c>
      <c r="F165" s="6">
        <v>1</v>
      </c>
      <c r="G165" s="6">
        <v>1</v>
      </c>
      <c r="H165" s="9">
        <v>610</v>
      </c>
      <c r="I165" s="9">
        <v>610</v>
      </c>
      <c r="J165" s="6">
        <v>0</v>
      </c>
      <c r="K165" s="6">
        <v>0</v>
      </c>
      <c r="L165" s="6">
        <v>0</v>
      </c>
      <c r="M165" s="6">
        <v>1</v>
      </c>
      <c r="N165" s="10" t="s">
        <v>301</v>
      </c>
    </row>
    <row r="166" spans="1:14" ht="14.25">
      <c r="A166" s="6">
        <v>161</v>
      </c>
      <c r="B166" s="7" t="s">
        <v>302</v>
      </c>
      <c r="C166" s="8">
        <v>121</v>
      </c>
      <c r="D166" s="8">
        <v>121</v>
      </c>
      <c r="E166" s="8">
        <v>608.79999999999995</v>
      </c>
      <c r="F166" s="6">
        <v>2</v>
      </c>
      <c r="G166" s="6">
        <v>1</v>
      </c>
      <c r="H166" s="9">
        <v>608.79999999999995</v>
      </c>
      <c r="I166" s="9">
        <v>729.8</v>
      </c>
      <c r="J166" s="6">
        <v>0</v>
      </c>
      <c r="K166" s="6">
        <v>0</v>
      </c>
      <c r="L166" s="6">
        <v>1</v>
      </c>
      <c r="M166" s="6">
        <v>0</v>
      </c>
      <c r="N166" s="10" t="s">
        <v>303</v>
      </c>
    </row>
    <row r="167" spans="1:14" ht="14.25">
      <c r="A167" s="6">
        <v>162</v>
      </c>
      <c r="B167" s="7" t="s">
        <v>304</v>
      </c>
      <c r="C167" s="8">
        <v>210</v>
      </c>
      <c r="D167" s="8">
        <v>210</v>
      </c>
      <c r="E167" s="8">
        <v>601</v>
      </c>
      <c r="F167" s="6">
        <v>2</v>
      </c>
      <c r="G167" s="6">
        <v>2</v>
      </c>
      <c r="H167" s="9">
        <v>811</v>
      </c>
      <c r="I167" s="9">
        <v>811</v>
      </c>
      <c r="J167" s="6">
        <v>0</v>
      </c>
      <c r="K167" s="6">
        <v>1</v>
      </c>
      <c r="L167" s="6">
        <v>1</v>
      </c>
      <c r="M167" s="6">
        <v>0</v>
      </c>
      <c r="N167" s="11"/>
    </row>
    <row r="168" spans="1:14" ht="14.25">
      <c r="A168" s="6">
        <v>163</v>
      </c>
      <c r="B168" s="7" t="s">
        <v>305</v>
      </c>
      <c r="C168" s="8">
        <v>123</v>
      </c>
      <c r="D168" s="8">
        <v>123</v>
      </c>
      <c r="E168" s="8">
        <v>600</v>
      </c>
      <c r="F168" s="6">
        <v>2</v>
      </c>
      <c r="G168" s="6">
        <v>1</v>
      </c>
      <c r="H168" s="9">
        <v>123</v>
      </c>
      <c r="I168" s="9">
        <v>723</v>
      </c>
      <c r="J168" s="6">
        <v>0</v>
      </c>
      <c r="K168" s="6">
        <v>1</v>
      </c>
      <c r="L168" s="6">
        <v>0</v>
      </c>
      <c r="M168" s="6">
        <v>0</v>
      </c>
      <c r="N168" s="11"/>
    </row>
    <row r="169" spans="1:14" ht="25.5">
      <c r="A169" s="6">
        <v>164</v>
      </c>
      <c r="B169" s="7" t="s">
        <v>306</v>
      </c>
      <c r="C169" s="8">
        <v>32</v>
      </c>
      <c r="D169" s="8">
        <v>32</v>
      </c>
      <c r="E169" s="8">
        <v>586.4</v>
      </c>
      <c r="F169" s="6">
        <v>10</v>
      </c>
      <c r="G169" s="6">
        <v>5</v>
      </c>
      <c r="H169" s="9">
        <v>1494.4</v>
      </c>
      <c r="I169" s="9">
        <v>2328.4</v>
      </c>
      <c r="J169" s="6">
        <v>2</v>
      </c>
      <c r="K169" s="6">
        <v>1</v>
      </c>
      <c r="L169" s="6">
        <v>2</v>
      </c>
      <c r="M169" s="6">
        <v>0</v>
      </c>
      <c r="N169" s="10" t="s">
        <v>307</v>
      </c>
    </row>
    <row r="170" spans="1:14" ht="14.25">
      <c r="A170" s="6">
        <v>165</v>
      </c>
      <c r="B170" s="7" t="s">
        <v>308</v>
      </c>
      <c r="C170" s="8">
        <v>201</v>
      </c>
      <c r="D170" s="8">
        <v>201</v>
      </c>
      <c r="E170" s="8">
        <v>577.5</v>
      </c>
      <c r="F170" s="6">
        <v>2</v>
      </c>
      <c r="G170" s="6">
        <v>2</v>
      </c>
      <c r="H170" s="9">
        <v>778.5</v>
      </c>
      <c r="I170" s="9">
        <v>778.5</v>
      </c>
      <c r="J170" s="6">
        <v>0</v>
      </c>
      <c r="K170" s="6">
        <v>1</v>
      </c>
      <c r="L170" s="6">
        <v>1</v>
      </c>
      <c r="M170" s="6">
        <v>0</v>
      </c>
      <c r="N170" s="11"/>
    </row>
    <row r="171" spans="1:14" ht="14.25">
      <c r="A171" s="6">
        <v>166</v>
      </c>
      <c r="B171" s="7" t="s">
        <v>309</v>
      </c>
      <c r="C171" s="8">
        <v>104</v>
      </c>
      <c r="D171" s="8">
        <v>104</v>
      </c>
      <c r="E171" s="8">
        <v>577.5</v>
      </c>
      <c r="F171" s="6">
        <v>2</v>
      </c>
      <c r="G171" s="6">
        <v>2</v>
      </c>
      <c r="H171" s="9">
        <v>681.5</v>
      </c>
      <c r="I171" s="9">
        <v>681.5</v>
      </c>
      <c r="J171" s="6">
        <v>0</v>
      </c>
      <c r="K171" s="6">
        <v>1</v>
      </c>
      <c r="L171" s="6">
        <v>0</v>
      </c>
      <c r="M171" s="6">
        <v>1</v>
      </c>
      <c r="N171" s="11"/>
    </row>
    <row r="172" spans="1:14" ht="14.25">
      <c r="A172" s="6">
        <v>167</v>
      </c>
      <c r="B172" s="7" t="s">
        <v>310</v>
      </c>
      <c r="C172" s="8">
        <v>326</v>
      </c>
      <c r="D172" s="8">
        <v>300</v>
      </c>
      <c r="E172" s="8">
        <v>565</v>
      </c>
      <c r="F172" s="6">
        <v>2</v>
      </c>
      <c r="G172" s="6">
        <v>1</v>
      </c>
      <c r="H172" s="9">
        <v>326</v>
      </c>
      <c r="I172" s="9">
        <v>891</v>
      </c>
      <c r="J172" s="6">
        <v>0</v>
      </c>
      <c r="K172" s="6">
        <v>0</v>
      </c>
      <c r="L172" s="6">
        <v>1</v>
      </c>
      <c r="M172" s="6">
        <v>0</v>
      </c>
      <c r="N172" s="10" t="s">
        <v>311</v>
      </c>
    </row>
    <row r="173" spans="1:14" ht="14.25">
      <c r="A173" s="6">
        <v>168</v>
      </c>
      <c r="B173" s="7" t="s">
        <v>312</v>
      </c>
      <c r="C173" s="8">
        <v>122</v>
      </c>
      <c r="D173" s="8">
        <v>122</v>
      </c>
      <c r="E173" s="8">
        <v>550</v>
      </c>
      <c r="F173" s="6">
        <v>3</v>
      </c>
      <c r="G173" s="6">
        <v>3</v>
      </c>
      <c r="H173" s="9">
        <v>832</v>
      </c>
      <c r="I173" s="9">
        <v>832</v>
      </c>
      <c r="J173" s="6">
        <v>2</v>
      </c>
      <c r="K173" s="6">
        <v>0</v>
      </c>
      <c r="L173" s="6">
        <v>0</v>
      </c>
      <c r="M173" s="6">
        <v>1</v>
      </c>
      <c r="N173" s="10" t="s">
        <v>313</v>
      </c>
    </row>
    <row r="174" spans="1:14" ht="14.25">
      <c r="A174" s="6">
        <v>169</v>
      </c>
      <c r="B174" s="7" t="s">
        <v>314</v>
      </c>
      <c r="C174" s="8">
        <v>550</v>
      </c>
      <c r="D174" s="8">
        <v>300</v>
      </c>
      <c r="E174" s="8">
        <v>550</v>
      </c>
      <c r="F174" s="6">
        <v>1</v>
      </c>
      <c r="G174" s="6">
        <v>1</v>
      </c>
      <c r="H174" s="9">
        <v>550</v>
      </c>
      <c r="I174" s="9">
        <v>550</v>
      </c>
      <c r="J174" s="6">
        <v>0</v>
      </c>
      <c r="K174" s="6">
        <v>1</v>
      </c>
      <c r="L174" s="6">
        <v>0</v>
      </c>
      <c r="M174" s="6">
        <v>0</v>
      </c>
      <c r="N174" s="11"/>
    </row>
    <row r="175" spans="1:14" ht="14.25">
      <c r="A175" s="6">
        <v>170</v>
      </c>
      <c r="B175" s="7" t="s">
        <v>315</v>
      </c>
      <c r="C175" s="8">
        <v>52</v>
      </c>
      <c r="D175" s="8">
        <v>52</v>
      </c>
      <c r="E175" s="8">
        <v>550</v>
      </c>
      <c r="F175" s="6">
        <v>5</v>
      </c>
      <c r="G175" s="6">
        <v>5</v>
      </c>
      <c r="H175" s="9">
        <v>1093.0999999999999</v>
      </c>
      <c r="I175" s="9">
        <v>1093.0999999999999</v>
      </c>
      <c r="J175" s="6">
        <v>0</v>
      </c>
      <c r="K175" s="6">
        <v>1</v>
      </c>
      <c r="L175" s="6">
        <v>2</v>
      </c>
      <c r="M175" s="6">
        <v>2</v>
      </c>
      <c r="N175" s="10" t="s">
        <v>316</v>
      </c>
    </row>
    <row r="176" spans="1:14" ht="14.25">
      <c r="A176" s="6">
        <v>171</v>
      </c>
      <c r="B176" s="7" t="s">
        <v>317</v>
      </c>
      <c r="C176" s="8">
        <v>550</v>
      </c>
      <c r="D176" s="8">
        <v>300</v>
      </c>
      <c r="E176" s="8">
        <v>550</v>
      </c>
      <c r="F176" s="6">
        <v>1</v>
      </c>
      <c r="G176" s="6">
        <v>1</v>
      </c>
      <c r="H176" s="9">
        <v>550</v>
      </c>
      <c r="I176" s="9">
        <v>550</v>
      </c>
      <c r="J176" s="6">
        <v>1</v>
      </c>
      <c r="K176" s="6">
        <v>0</v>
      </c>
      <c r="L176" s="6">
        <v>0</v>
      </c>
      <c r="M176" s="6">
        <v>0</v>
      </c>
      <c r="N176" s="11"/>
    </row>
    <row r="177" spans="1:14" ht="14.25">
      <c r="A177" s="6">
        <v>172</v>
      </c>
      <c r="B177" s="7" t="s">
        <v>318</v>
      </c>
      <c r="C177" s="8">
        <v>550</v>
      </c>
      <c r="D177" s="8">
        <v>300</v>
      </c>
      <c r="E177" s="8">
        <v>550</v>
      </c>
      <c r="F177" s="6">
        <v>1</v>
      </c>
      <c r="G177" s="6">
        <v>1</v>
      </c>
      <c r="H177" s="9">
        <v>550</v>
      </c>
      <c r="I177" s="9">
        <v>550</v>
      </c>
      <c r="J177" s="6">
        <v>0</v>
      </c>
      <c r="K177" s="6">
        <v>0</v>
      </c>
      <c r="L177" s="6">
        <v>1</v>
      </c>
      <c r="M177" s="6">
        <v>0</v>
      </c>
      <c r="N177" s="11"/>
    </row>
    <row r="178" spans="1:14" ht="14.25">
      <c r="A178" s="6">
        <v>173</v>
      </c>
      <c r="B178" s="7" t="s">
        <v>319</v>
      </c>
      <c r="C178" s="8">
        <v>146</v>
      </c>
      <c r="D178" s="8">
        <v>146</v>
      </c>
      <c r="E178" s="8">
        <v>531</v>
      </c>
      <c r="F178" s="6">
        <v>2</v>
      </c>
      <c r="G178" s="6">
        <v>2</v>
      </c>
      <c r="H178" s="9">
        <v>677</v>
      </c>
      <c r="I178" s="9">
        <v>677</v>
      </c>
      <c r="J178" s="6">
        <v>0</v>
      </c>
      <c r="K178" s="6">
        <v>1</v>
      </c>
      <c r="L178" s="6">
        <v>0</v>
      </c>
      <c r="M178" s="6">
        <v>1</v>
      </c>
      <c r="N178" s="11"/>
    </row>
    <row r="179" spans="1:14" ht="14.25">
      <c r="A179" s="6">
        <v>174</v>
      </c>
      <c r="B179" s="7" t="s">
        <v>320</v>
      </c>
      <c r="C179" s="8">
        <v>530</v>
      </c>
      <c r="D179" s="8">
        <v>300</v>
      </c>
      <c r="E179" s="8">
        <v>530</v>
      </c>
      <c r="F179" s="6">
        <v>1</v>
      </c>
      <c r="G179" s="6">
        <v>1</v>
      </c>
      <c r="H179" s="9">
        <v>530</v>
      </c>
      <c r="I179" s="9">
        <v>530</v>
      </c>
      <c r="J179" s="6">
        <v>0</v>
      </c>
      <c r="K179" s="6">
        <v>0</v>
      </c>
      <c r="L179" s="6">
        <v>0</v>
      </c>
      <c r="M179" s="6">
        <v>1</v>
      </c>
      <c r="N179" s="11"/>
    </row>
    <row r="180" spans="1:14" ht="14.25">
      <c r="A180" s="6">
        <v>175</v>
      </c>
      <c r="B180" s="7" t="s">
        <v>321</v>
      </c>
      <c r="C180" s="8">
        <v>205.2</v>
      </c>
      <c r="D180" s="8">
        <v>205.2</v>
      </c>
      <c r="E180" s="8">
        <v>530</v>
      </c>
      <c r="F180" s="6">
        <v>3</v>
      </c>
      <c r="G180" s="6">
        <v>1</v>
      </c>
      <c r="H180" s="9">
        <v>530</v>
      </c>
      <c r="I180" s="9">
        <v>1145.2</v>
      </c>
      <c r="J180" s="6">
        <v>0</v>
      </c>
      <c r="K180" s="6">
        <v>1</v>
      </c>
      <c r="L180" s="6">
        <v>0</v>
      </c>
      <c r="M180" s="6">
        <v>0</v>
      </c>
      <c r="N180" s="11"/>
    </row>
    <row r="181" spans="1:14" ht="14.25">
      <c r="A181" s="6">
        <v>176</v>
      </c>
      <c r="B181" s="7" t="s">
        <v>322</v>
      </c>
      <c r="C181" s="8">
        <v>530</v>
      </c>
      <c r="D181" s="8">
        <v>300</v>
      </c>
      <c r="E181" s="8">
        <v>530</v>
      </c>
      <c r="F181" s="6">
        <v>1</v>
      </c>
      <c r="G181" s="6">
        <v>1</v>
      </c>
      <c r="H181" s="9">
        <v>530</v>
      </c>
      <c r="I181" s="9">
        <v>530</v>
      </c>
      <c r="J181" s="6">
        <v>0</v>
      </c>
      <c r="K181" s="6">
        <v>1</v>
      </c>
      <c r="L181" s="6">
        <v>0</v>
      </c>
      <c r="M181" s="6">
        <v>0</v>
      </c>
      <c r="N181" s="11"/>
    </row>
    <row r="182" spans="1:14" ht="14.25">
      <c r="A182" s="6">
        <v>177</v>
      </c>
      <c r="B182" s="7" t="s">
        <v>323</v>
      </c>
      <c r="C182" s="8">
        <v>157.9</v>
      </c>
      <c r="D182" s="8">
        <v>157.9</v>
      </c>
      <c r="E182" s="8">
        <v>527.5</v>
      </c>
      <c r="F182" s="6">
        <v>3</v>
      </c>
      <c r="G182" s="6">
        <v>2</v>
      </c>
      <c r="H182" s="9">
        <v>962.5</v>
      </c>
      <c r="I182" s="9">
        <v>1120.4000000000001</v>
      </c>
      <c r="J182" s="6">
        <v>1</v>
      </c>
      <c r="K182" s="6">
        <v>1</v>
      </c>
      <c r="L182" s="6">
        <v>0</v>
      </c>
      <c r="M182" s="6">
        <v>0</v>
      </c>
      <c r="N182" s="11"/>
    </row>
    <row r="183" spans="1:14" ht="14.25">
      <c r="A183" s="6">
        <v>178</v>
      </c>
      <c r="B183" s="7" t="s">
        <v>324</v>
      </c>
      <c r="C183" s="8">
        <v>523</v>
      </c>
      <c r="D183" s="8">
        <v>300</v>
      </c>
      <c r="E183" s="8">
        <v>523</v>
      </c>
      <c r="F183" s="6">
        <v>1</v>
      </c>
      <c r="G183" s="6">
        <v>1</v>
      </c>
      <c r="H183" s="9">
        <v>523</v>
      </c>
      <c r="I183" s="9">
        <v>523</v>
      </c>
      <c r="J183" s="6">
        <v>0</v>
      </c>
      <c r="K183" s="6">
        <v>0</v>
      </c>
      <c r="L183" s="6">
        <v>0</v>
      </c>
      <c r="M183" s="6">
        <v>1</v>
      </c>
      <c r="N183" s="11"/>
    </row>
    <row r="184" spans="1:14" ht="14.25">
      <c r="A184" s="6">
        <v>179</v>
      </c>
      <c r="B184" s="7" t="s">
        <v>325</v>
      </c>
      <c r="C184" s="8">
        <v>118.8</v>
      </c>
      <c r="D184" s="8">
        <v>118.8</v>
      </c>
      <c r="E184" s="8">
        <v>521.1</v>
      </c>
      <c r="F184" s="6">
        <v>2</v>
      </c>
      <c r="G184" s="6">
        <v>1</v>
      </c>
      <c r="H184" s="9">
        <v>118.8</v>
      </c>
      <c r="I184" s="9">
        <v>639.9</v>
      </c>
      <c r="J184" s="6">
        <v>1</v>
      </c>
      <c r="K184" s="6">
        <v>0</v>
      </c>
      <c r="L184" s="6">
        <v>0</v>
      </c>
      <c r="M184" s="6">
        <v>0</v>
      </c>
      <c r="N184" s="11"/>
    </row>
    <row r="185" spans="1:14" ht="14.25">
      <c r="A185" s="6">
        <v>180</v>
      </c>
      <c r="B185" s="7" t="s">
        <v>326</v>
      </c>
      <c r="C185" s="8">
        <v>519.6</v>
      </c>
      <c r="D185" s="8">
        <v>300</v>
      </c>
      <c r="E185" s="8">
        <v>519.6</v>
      </c>
      <c r="F185" s="6">
        <v>1</v>
      </c>
      <c r="G185" s="6">
        <v>1</v>
      </c>
      <c r="H185" s="9">
        <v>519.6</v>
      </c>
      <c r="I185" s="9">
        <v>519.6</v>
      </c>
      <c r="J185" s="6">
        <v>1</v>
      </c>
      <c r="K185" s="6">
        <v>0</v>
      </c>
      <c r="L185" s="6">
        <v>0</v>
      </c>
      <c r="M185" s="6">
        <v>0</v>
      </c>
      <c r="N185" s="11"/>
    </row>
    <row r="186" spans="1:14" ht="14.25">
      <c r="A186" s="6">
        <v>181</v>
      </c>
      <c r="B186" s="7" t="s">
        <v>327</v>
      </c>
      <c r="C186" s="8">
        <v>501</v>
      </c>
      <c r="D186" s="8">
        <v>300</v>
      </c>
      <c r="E186" s="8">
        <v>516</v>
      </c>
      <c r="F186" s="6">
        <v>2</v>
      </c>
      <c r="G186" s="6">
        <v>2</v>
      </c>
      <c r="H186" s="9">
        <v>1017</v>
      </c>
      <c r="I186" s="9">
        <v>1017</v>
      </c>
      <c r="J186" s="6">
        <v>1</v>
      </c>
      <c r="K186" s="6">
        <v>1</v>
      </c>
      <c r="L186" s="6">
        <v>0</v>
      </c>
      <c r="M186" s="6">
        <v>0</v>
      </c>
      <c r="N186" s="10" t="s">
        <v>328</v>
      </c>
    </row>
    <row r="187" spans="1:14" ht="14.25">
      <c r="A187" s="6">
        <v>182</v>
      </c>
      <c r="B187" s="7" t="s">
        <v>329</v>
      </c>
      <c r="C187" s="8">
        <v>515</v>
      </c>
      <c r="D187" s="8">
        <v>300</v>
      </c>
      <c r="E187" s="8">
        <v>515</v>
      </c>
      <c r="F187" s="6">
        <v>1</v>
      </c>
      <c r="G187" s="6">
        <v>1</v>
      </c>
      <c r="H187" s="9">
        <v>515</v>
      </c>
      <c r="I187" s="9">
        <v>515</v>
      </c>
      <c r="J187" s="6">
        <v>1</v>
      </c>
      <c r="K187" s="6">
        <v>0</v>
      </c>
      <c r="L187" s="6">
        <v>0</v>
      </c>
      <c r="M187" s="6">
        <v>0</v>
      </c>
      <c r="N187" s="10" t="s">
        <v>330</v>
      </c>
    </row>
    <row r="188" spans="1:14" ht="14.25">
      <c r="A188" s="6">
        <v>183</v>
      </c>
      <c r="B188" s="7" t="s">
        <v>331</v>
      </c>
      <c r="C188" s="8">
        <v>30.3</v>
      </c>
      <c r="D188" s="8">
        <v>30.3</v>
      </c>
      <c r="E188" s="8">
        <v>515</v>
      </c>
      <c r="F188" s="6">
        <v>4</v>
      </c>
      <c r="G188" s="6">
        <v>3</v>
      </c>
      <c r="H188" s="9">
        <v>766.2</v>
      </c>
      <c r="I188" s="9">
        <v>796.5</v>
      </c>
      <c r="J188" s="6">
        <v>1</v>
      </c>
      <c r="K188" s="6">
        <v>2</v>
      </c>
      <c r="L188" s="6">
        <v>0</v>
      </c>
      <c r="M188" s="6">
        <v>0</v>
      </c>
      <c r="N188" s="11"/>
    </row>
    <row r="189" spans="1:14" ht="14.25">
      <c r="A189" s="6">
        <v>184</v>
      </c>
      <c r="B189" s="7" t="s">
        <v>332</v>
      </c>
      <c r="C189" s="8">
        <v>94</v>
      </c>
      <c r="D189" s="8">
        <v>94</v>
      </c>
      <c r="E189" s="8">
        <v>513</v>
      </c>
      <c r="F189" s="6">
        <v>2</v>
      </c>
      <c r="G189" s="6">
        <v>2</v>
      </c>
      <c r="H189" s="9">
        <v>607</v>
      </c>
      <c r="I189" s="9">
        <v>607</v>
      </c>
      <c r="J189" s="6">
        <v>0</v>
      </c>
      <c r="K189" s="6">
        <v>0</v>
      </c>
      <c r="L189" s="6">
        <v>1</v>
      </c>
      <c r="M189" s="6">
        <v>1</v>
      </c>
      <c r="N189" s="11"/>
    </row>
    <row r="190" spans="1:14" ht="14.25">
      <c r="A190" s="6">
        <v>185</v>
      </c>
      <c r="B190" s="7" t="s">
        <v>333</v>
      </c>
      <c r="C190" s="8">
        <v>513</v>
      </c>
      <c r="D190" s="8">
        <v>300</v>
      </c>
      <c r="E190" s="8">
        <v>513</v>
      </c>
      <c r="F190" s="6">
        <v>1</v>
      </c>
      <c r="G190" s="6">
        <v>1</v>
      </c>
      <c r="H190" s="9">
        <v>513</v>
      </c>
      <c r="I190" s="9">
        <v>513</v>
      </c>
      <c r="J190" s="6">
        <v>0</v>
      </c>
      <c r="K190" s="6">
        <v>0</v>
      </c>
      <c r="L190" s="6">
        <v>1</v>
      </c>
      <c r="M190" s="6">
        <v>0</v>
      </c>
      <c r="N190" s="11"/>
    </row>
    <row r="191" spans="1:14" ht="14.25">
      <c r="A191" s="6">
        <v>186</v>
      </c>
      <c r="B191" s="7" t="s">
        <v>334</v>
      </c>
      <c r="C191" s="8">
        <v>44</v>
      </c>
      <c r="D191" s="8">
        <v>44</v>
      </c>
      <c r="E191" s="8">
        <v>505.3</v>
      </c>
      <c r="F191" s="6">
        <v>3</v>
      </c>
      <c r="G191" s="6">
        <v>3</v>
      </c>
      <c r="H191" s="9">
        <v>822.3</v>
      </c>
      <c r="I191" s="9">
        <v>822.3</v>
      </c>
      <c r="J191" s="6">
        <v>0</v>
      </c>
      <c r="K191" s="6">
        <v>2</v>
      </c>
      <c r="L191" s="6">
        <v>1</v>
      </c>
      <c r="M191" s="6">
        <v>0</v>
      </c>
      <c r="N191" s="11"/>
    </row>
    <row r="192" spans="1:14" ht="14.25">
      <c r="A192" s="6">
        <v>187</v>
      </c>
      <c r="B192" s="7" t="s">
        <v>335</v>
      </c>
      <c r="C192" s="8">
        <v>120.1</v>
      </c>
      <c r="D192" s="8">
        <v>120.1</v>
      </c>
      <c r="E192" s="8">
        <v>501</v>
      </c>
      <c r="F192" s="6">
        <v>2</v>
      </c>
      <c r="G192" s="6">
        <v>2</v>
      </c>
      <c r="H192" s="9">
        <v>621.1</v>
      </c>
      <c r="I192" s="9">
        <v>621.1</v>
      </c>
      <c r="J192" s="6">
        <v>0</v>
      </c>
      <c r="K192" s="6">
        <v>1</v>
      </c>
      <c r="L192" s="6">
        <v>1</v>
      </c>
      <c r="M192" s="6">
        <v>0</v>
      </c>
      <c r="N192" s="11"/>
    </row>
    <row r="193" spans="1:14" ht="25.5">
      <c r="A193" s="6">
        <v>188</v>
      </c>
      <c r="B193" s="7" t="s">
        <v>336</v>
      </c>
      <c r="C193" s="8">
        <v>76</v>
      </c>
      <c r="D193" s="8">
        <v>76</v>
      </c>
      <c r="E193" s="8">
        <v>500.5</v>
      </c>
      <c r="F193" s="6">
        <v>3</v>
      </c>
      <c r="G193" s="6">
        <v>3</v>
      </c>
      <c r="H193" s="9">
        <v>678</v>
      </c>
      <c r="I193" s="9">
        <v>678</v>
      </c>
      <c r="J193" s="6">
        <v>2</v>
      </c>
      <c r="K193" s="6">
        <v>0</v>
      </c>
      <c r="L193" s="6">
        <v>1</v>
      </c>
      <c r="M193" s="6">
        <v>0</v>
      </c>
      <c r="N193" s="10" t="s">
        <v>337</v>
      </c>
    </row>
    <row r="194" spans="1:14" ht="14.25">
      <c r="A194" s="6">
        <v>189</v>
      </c>
      <c r="B194" s="7" t="s">
        <v>338</v>
      </c>
      <c r="C194" s="8">
        <v>156</v>
      </c>
      <c r="D194" s="8">
        <v>156</v>
      </c>
      <c r="E194" s="8">
        <v>500</v>
      </c>
      <c r="F194" s="6">
        <v>5</v>
      </c>
      <c r="G194" s="6">
        <v>4</v>
      </c>
      <c r="H194" s="9">
        <v>1186.9000000000001</v>
      </c>
      <c r="I194" s="9">
        <v>1686.9</v>
      </c>
      <c r="J194" s="6">
        <v>1</v>
      </c>
      <c r="K194" s="6">
        <v>0</v>
      </c>
      <c r="L194" s="6">
        <v>0</v>
      </c>
      <c r="M194" s="6">
        <v>3</v>
      </c>
      <c r="N194" s="11"/>
    </row>
    <row r="195" spans="1:14" ht="14.25">
      <c r="A195" s="6">
        <v>190</v>
      </c>
      <c r="B195" s="7" t="s">
        <v>339</v>
      </c>
      <c r="C195" s="8">
        <v>428.6</v>
      </c>
      <c r="D195" s="8">
        <v>300</v>
      </c>
      <c r="E195" s="8">
        <v>500</v>
      </c>
      <c r="F195" s="6">
        <v>2</v>
      </c>
      <c r="G195" s="6">
        <v>1</v>
      </c>
      <c r="H195" s="9">
        <v>500</v>
      </c>
      <c r="I195" s="9">
        <v>928.6</v>
      </c>
      <c r="J195" s="6">
        <v>0</v>
      </c>
      <c r="K195" s="6">
        <v>1</v>
      </c>
      <c r="L195" s="6">
        <v>0</v>
      </c>
      <c r="M195" s="6">
        <v>0</v>
      </c>
      <c r="N195" s="11"/>
    </row>
    <row r="196" spans="1:14" ht="14.25">
      <c r="A196" s="6">
        <v>191</v>
      </c>
      <c r="B196" s="7" t="s">
        <v>340</v>
      </c>
      <c r="C196" s="8">
        <v>63</v>
      </c>
      <c r="D196" s="8">
        <v>63</v>
      </c>
      <c r="E196" s="8">
        <v>500</v>
      </c>
      <c r="F196" s="6">
        <v>5</v>
      </c>
      <c r="G196" s="6">
        <v>5</v>
      </c>
      <c r="H196" s="9">
        <v>1123</v>
      </c>
      <c r="I196" s="9">
        <v>1123</v>
      </c>
      <c r="J196" s="6">
        <v>2</v>
      </c>
      <c r="K196" s="6">
        <v>1</v>
      </c>
      <c r="L196" s="6">
        <v>0</v>
      </c>
      <c r="M196" s="6">
        <v>2</v>
      </c>
      <c r="N196" s="11"/>
    </row>
    <row r="197" spans="1:14" ht="14.25">
      <c r="A197" s="6">
        <v>192</v>
      </c>
      <c r="B197" s="7" t="s">
        <v>341</v>
      </c>
      <c r="C197" s="8">
        <v>207</v>
      </c>
      <c r="D197" s="8">
        <v>207</v>
      </c>
      <c r="E197" s="8">
        <v>500</v>
      </c>
      <c r="F197" s="6">
        <v>2</v>
      </c>
      <c r="G197" s="6">
        <v>1</v>
      </c>
      <c r="H197" s="9">
        <v>500</v>
      </c>
      <c r="I197" s="9">
        <v>707</v>
      </c>
      <c r="J197" s="6">
        <v>1</v>
      </c>
      <c r="K197" s="6">
        <v>0</v>
      </c>
      <c r="L197" s="6">
        <v>0</v>
      </c>
      <c r="M197" s="6">
        <v>0</v>
      </c>
      <c r="N197" s="11"/>
    </row>
    <row r="198" spans="1:14" ht="14.25">
      <c r="A198" s="6">
        <v>193</v>
      </c>
      <c r="B198" s="7" t="s">
        <v>342</v>
      </c>
      <c r="C198" s="8">
        <v>109.5</v>
      </c>
      <c r="D198" s="8">
        <v>109.5</v>
      </c>
      <c r="E198" s="8">
        <v>500</v>
      </c>
      <c r="F198" s="6">
        <v>4</v>
      </c>
      <c r="G198" s="6">
        <v>3</v>
      </c>
      <c r="H198" s="9">
        <v>749.5</v>
      </c>
      <c r="I198" s="9">
        <v>969.5</v>
      </c>
      <c r="J198" s="6">
        <v>1</v>
      </c>
      <c r="K198" s="6">
        <v>1</v>
      </c>
      <c r="L198" s="6">
        <v>1</v>
      </c>
      <c r="M198" s="6">
        <v>0</v>
      </c>
      <c r="N198" s="11"/>
    </row>
    <row r="199" spans="1:14" ht="14.25">
      <c r="A199" s="6">
        <v>194</v>
      </c>
      <c r="B199" s="7" t="s">
        <v>343</v>
      </c>
      <c r="C199" s="8">
        <v>476</v>
      </c>
      <c r="D199" s="8">
        <v>300</v>
      </c>
      <c r="E199" s="8">
        <v>476</v>
      </c>
      <c r="F199" s="6">
        <v>1</v>
      </c>
      <c r="G199" s="6">
        <v>1</v>
      </c>
      <c r="H199" s="9">
        <v>476</v>
      </c>
      <c r="I199" s="9">
        <v>476</v>
      </c>
      <c r="J199" s="6">
        <v>0</v>
      </c>
      <c r="K199" s="6">
        <v>1</v>
      </c>
      <c r="L199" s="6">
        <v>0</v>
      </c>
      <c r="M199" s="6">
        <v>0</v>
      </c>
      <c r="N199" s="11"/>
    </row>
    <row r="200" spans="1:14" ht="14.25">
      <c r="A200" s="6">
        <v>195</v>
      </c>
      <c r="B200" s="7" t="s">
        <v>344</v>
      </c>
      <c r="C200" s="8">
        <v>322</v>
      </c>
      <c r="D200" s="8">
        <v>300</v>
      </c>
      <c r="E200" s="8">
        <v>466</v>
      </c>
      <c r="F200" s="6">
        <v>3</v>
      </c>
      <c r="G200" s="6">
        <v>2</v>
      </c>
      <c r="H200" s="9">
        <v>788</v>
      </c>
      <c r="I200" s="9">
        <v>1139</v>
      </c>
      <c r="J200" s="6">
        <v>0</v>
      </c>
      <c r="K200" s="6">
        <v>1</v>
      </c>
      <c r="L200" s="6">
        <v>0</v>
      </c>
      <c r="M200" s="6">
        <v>1</v>
      </c>
      <c r="N200" s="11"/>
    </row>
    <row r="201" spans="1:14" ht="14.25">
      <c r="A201" s="6">
        <v>196</v>
      </c>
      <c r="B201" s="7" t="s">
        <v>345</v>
      </c>
      <c r="C201" s="8">
        <v>460</v>
      </c>
      <c r="D201" s="8">
        <v>300</v>
      </c>
      <c r="E201" s="8">
        <v>460</v>
      </c>
      <c r="F201" s="6">
        <v>1</v>
      </c>
      <c r="G201" s="6">
        <v>1</v>
      </c>
      <c r="H201" s="9">
        <v>460</v>
      </c>
      <c r="I201" s="9">
        <v>460</v>
      </c>
      <c r="J201" s="6">
        <v>0</v>
      </c>
      <c r="K201" s="6">
        <v>1</v>
      </c>
      <c r="L201" s="6">
        <v>0</v>
      </c>
      <c r="M201" s="6">
        <v>0</v>
      </c>
      <c r="N201" s="11"/>
    </row>
    <row r="202" spans="1:14" ht="14.25">
      <c r="A202" s="6">
        <v>197</v>
      </c>
      <c r="B202" s="7" t="s">
        <v>346</v>
      </c>
      <c r="C202" s="8">
        <v>185</v>
      </c>
      <c r="D202" s="8">
        <v>185</v>
      </c>
      <c r="E202" s="8">
        <v>455</v>
      </c>
      <c r="F202" s="6">
        <v>2</v>
      </c>
      <c r="G202" s="6">
        <v>1</v>
      </c>
      <c r="H202" s="9">
        <v>455</v>
      </c>
      <c r="I202" s="9">
        <v>640</v>
      </c>
      <c r="J202" s="6">
        <v>1</v>
      </c>
      <c r="K202" s="6">
        <v>0</v>
      </c>
      <c r="L202" s="6">
        <v>0</v>
      </c>
      <c r="M202" s="6">
        <v>0</v>
      </c>
      <c r="N202" s="11"/>
    </row>
    <row r="203" spans="1:14" ht="14.25">
      <c r="A203" s="6">
        <v>198</v>
      </c>
      <c r="B203" s="7" t="s">
        <v>347</v>
      </c>
      <c r="C203" s="8">
        <v>41.5</v>
      </c>
      <c r="D203" s="8">
        <v>41.5</v>
      </c>
      <c r="E203" s="8">
        <v>441</v>
      </c>
      <c r="F203" s="6">
        <v>3</v>
      </c>
      <c r="G203" s="6">
        <v>2</v>
      </c>
      <c r="H203" s="9">
        <v>501</v>
      </c>
      <c r="I203" s="9">
        <v>542.5</v>
      </c>
      <c r="J203" s="6">
        <v>2</v>
      </c>
      <c r="K203" s="6">
        <v>0</v>
      </c>
      <c r="L203" s="6">
        <v>0</v>
      </c>
      <c r="M203" s="6">
        <v>0</v>
      </c>
      <c r="N203" s="11"/>
    </row>
    <row r="204" spans="1:14" ht="14.25">
      <c r="A204" s="6">
        <v>199</v>
      </c>
      <c r="B204" s="7" t="s">
        <v>348</v>
      </c>
      <c r="C204" s="8">
        <v>50.5</v>
      </c>
      <c r="D204" s="8">
        <v>50.5</v>
      </c>
      <c r="E204" s="8">
        <v>430</v>
      </c>
      <c r="F204" s="6">
        <v>3</v>
      </c>
      <c r="G204" s="6">
        <v>1</v>
      </c>
      <c r="H204" s="9">
        <v>86.5</v>
      </c>
      <c r="I204" s="9">
        <v>567</v>
      </c>
      <c r="J204" s="6">
        <v>0</v>
      </c>
      <c r="K204" s="6">
        <v>0</v>
      </c>
      <c r="L204" s="6">
        <v>0</v>
      </c>
      <c r="M204" s="6">
        <v>1</v>
      </c>
      <c r="N204" s="11"/>
    </row>
    <row r="205" spans="1:14" ht="14.25">
      <c r="A205" s="6">
        <v>200</v>
      </c>
      <c r="B205" s="7" t="s">
        <v>349</v>
      </c>
      <c r="C205" s="8">
        <v>50.5</v>
      </c>
      <c r="D205" s="8">
        <v>50.5</v>
      </c>
      <c r="E205" s="8">
        <v>410</v>
      </c>
      <c r="F205" s="6">
        <v>4</v>
      </c>
      <c r="G205" s="6">
        <v>3</v>
      </c>
      <c r="H205" s="9">
        <v>473.5</v>
      </c>
      <c r="I205" s="9">
        <v>883.5</v>
      </c>
      <c r="J205" s="6">
        <v>2</v>
      </c>
      <c r="K205" s="6">
        <v>0</v>
      </c>
      <c r="L205" s="6">
        <v>1</v>
      </c>
      <c r="M205" s="6">
        <v>0</v>
      </c>
      <c r="N205" s="11"/>
    </row>
    <row r="206" spans="1:14" ht="14.25">
      <c r="A206" s="6">
        <v>201</v>
      </c>
      <c r="B206" s="7" t="s">
        <v>350</v>
      </c>
      <c r="C206" s="8">
        <v>410</v>
      </c>
      <c r="D206" s="8">
        <v>300</v>
      </c>
      <c r="E206" s="8">
        <v>410</v>
      </c>
      <c r="F206" s="6">
        <v>1</v>
      </c>
      <c r="G206" s="6">
        <v>1</v>
      </c>
      <c r="H206" s="9">
        <v>410</v>
      </c>
      <c r="I206" s="9">
        <v>410</v>
      </c>
      <c r="J206" s="6">
        <v>0</v>
      </c>
      <c r="K206" s="6">
        <v>1</v>
      </c>
      <c r="L206" s="6">
        <v>0</v>
      </c>
      <c r="M206" s="6">
        <v>0</v>
      </c>
      <c r="N206" s="11"/>
    </row>
    <row r="207" spans="1:14" ht="14.25">
      <c r="A207" s="6">
        <v>202</v>
      </c>
      <c r="B207" s="7" t="s">
        <v>351</v>
      </c>
      <c r="C207" s="8">
        <v>31.5</v>
      </c>
      <c r="D207" s="8">
        <v>31.5</v>
      </c>
      <c r="E207" s="8">
        <v>371.7</v>
      </c>
      <c r="F207" s="6">
        <v>4</v>
      </c>
      <c r="G207" s="6">
        <v>4</v>
      </c>
      <c r="H207" s="9">
        <v>536.20000000000005</v>
      </c>
      <c r="I207" s="9">
        <v>536.20000000000005</v>
      </c>
      <c r="J207" s="6">
        <v>0</v>
      </c>
      <c r="K207" s="6">
        <v>0</v>
      </c>
      <c r="L207" s="6">
        <v>2</v>
      </c>
      <c r="M207" s="6">
        <v>2</v>
      </c>
      <c r="N207" s="11"/>
    </row>
    <row r="208" spans="1:14" ht="14.25">
      <c r="A208" s="6">
        <v>203</v>
      </c>
      <c r="B208" s="7" t="s">
        <v>352</v>
      </c>
      <c r="C208" s="8">
        <v>10.1</v>
      </c>
      <c r="D208" s="8">
        <v>10.1</v>
      </c>
      <c r="E208" s="8">
        <v>371</v>
      </c>
      <c r="F208" s="6">
        <v>5</v>
      </c>
      <c r="G208" s="6">
        <v>4</v>
      </c>
      <c r="H208" s="9">
        <v>401.3</v>
      </c>
      <c r="I208" s="9">
        <v>433.3</v>
      </c>
      <c r="J208" s="6">
        <v>4</v>
      </c>
      <c r="K208" s="6">
        <v>0</v>
      </c>
      <c r="L208" s="6">
        <v>0</v>
      </c>
      <c r="M208" s="6">
        <v>0</v>
      </c>
      <c r="N208" s="11"/>
    </row>
    <row r="209" spans="1:14" ht="25.5">
      <c r="A209" s="6">
        <v>204</v>
      </c>
      <c r="B209" s="7" t="s">
        <v>353</v>
      </c>
      <c r="C209" s="8">
        <v>168.3</v>
      </c>
      <c r="D209" s="8">
        <v>168.3</v>
      </c>
      <c r="E209" s="8">
        <v>370</v>
      </c>
      <c r="F209" s="6">
        <v>2</v>
      </c>
      <c r="G209" s="6">
        <v>2</v>
      </c>
      <c r="H209" s="9">
        <v>538.29999999999995</v>
      </c>
      <c r="I209" s="9">
        <v>538.29999999999995</v>
      </c>
      <c r="J209" s="6">
        <v>1</v>
      </c>
      <c r="K209" s="6">
        <v>1</v>
      </c>
      <c r="L209" s="6">
        <v>0</v>
      </c>
      <c r="M209" s="6">
        <v>0</v>
      </c>
      <c r="N209" s="10" t="s">
        <v>354</v>
      </c>
    </row>
    <row r="210" spans="1:14" ht="14.25">
      <c r="A210" s="6">
        <v>205</v>
      </c>
      <c r="B210" s="7" t="s">
        <v>355</v>
      </c>
      <c r="C210" s="8">
        <v>357</v>
      </c>
      <c r="D210" s="8">
        <v>300</v>
      </c>
      <c r="E210" s="8">
        <v>357</v>
      </c>
      <c r="F210" s="6">
        <v>1</v>
      </c>
      <c r="G210" s="6">
        <v>1</v>
      </c>
      <c r="H210" s="9">
        <v>357</v>
      </c>
      <c r="I210" s="9">
        <v>357</v>
      </c>
      <c r="J210" s="6">
        <v>0</v>
      </c>
      <c r="K210" s="6">
        <v>0</v>
      </c>
      <c r="L210" s="6">
        <v>1</v>
      </c>
      <c r="M210" s="6">
        <v>0</v>
      </c>
      <c r="N210" s="11"/>
    </row>
    <row r="211" spans="1:14" ht="14.25">
      <c r="A211" s="6">
        <v>206</v>
      </c>
      <c r="B211" s="7" t="s">
        <v>356</v>
      </c>
      <c r="C211" s="8">
        <v>351</v>
      </c>
      <c r="D211" s="8">
        <v>300</v>
      </c>
      <c r="E211" s="8">
        <v>351</v>
      </c>
      <c r="F211" s="6">
        <v>1</v>
      </c>
      <c r="G211" s="6">
        <v>1</v>
      </c>
      <c r="H211" s="9">
        <v>351</v>
      </c>
      <c r="I211" s="9">
        <v>351</v>
      </c>
      <c r="J211" s="6">
        <v>0</v>
      </c>
      <c r="K211" s="6">
        <v>1</v>
      </c>
      <c r="L211" s="6">
        <v>0</v>
      </c>
      <c r="M211" s="6">
        <v>0</v>
      </c>
      <c r="N211" s="11"/>
    </row>
    <row r="212" spans="1:14" ht="14.25">
      <c r="A212" s="6">
        <v>207</v>
      </c>
      <c r="B212" s="7" t="s">
        <v>357</v>
      </c>
      <c r="C212" s="8">
        <v>101</v>
      </c>
      <c r="D212" s="8">
        <v>101</v>
      </c>
      <c r="E212" s="8">
        <v>351</v>
      </c>
      <c r="F212" s="6">
        <v>4</v>
      </c>
      <c r="G212" s="6">
        <v>2</v>
      </c>
      <c r="H212" s="9">
        <v>326.5</v>
      </c>
      <c r="I212" s="9">
        <v>971</v>
      </c>
      <c r="J212" s="6">
        <v>0</v>
      </c>
      <c r="K212" s="6">
        <v>0</v>
      </c>
      <c r="L212" s="6">
        <v>1</v>
      </c>
      <c r="M212" s="6">
        <v>1</v>
      </c>
      <c r="N212" s="11"/>
    </row>
    <row r="213" spans="1:14" ht="14.25">
      <c r="A213" s="6">
        <v>208</v>
      </c>
      <c r="B213" s="7" t="s">
        <v>358</v>
      </c>
      <c r="C213" s="8">
        <v>350</v>
      </c>
      <c r="D213" s="8">
        <v>300</v>
      </c>
      <c r="E213" s="8">
        <v>350</v>
      </c>
      <c r="F213" s="6">
        <v>1</v>
      </c>
      <c r="G213" s="6">
        <v>1</v>
      </c>
      <c r="H213" s="9">
        <v>350</v>
      </c>
      <c r="I213" s="9">
        <v>350</v>
      </c>
      <c r="J213" s="6">
        <v>1</v>
      </c>
      <c r="K213" s="6">
        <v>0</v>
      </c>
      <c r="L213" s="6">
        <v>0</v>
      </c>
      <c r="M213" s="6">
        <v>0</v>
      </c>
      <c r="N213" s="11"/>
    </row>
    <row r="214" spans="1:14" ht="14.25">
      <c r="A214" s="6">
        <v>209</v>
      </c>
      <c r="B214" s="7" t="s">
        <v>359</v>
      </c>
      <c r="C214" s="8">
        <v>70.3</v>
      </c>
      <c r="D214" s="8">
        <v>70.3</v>
      </c>
      <c r="E214" s="8">
        <v>345</v>
      </c>
      <c r="F214" s="6">
        <v>5</v>
      </c>
      <c r="G214" s="6">
        <v>1</v>
      </c>
      <c r="H214" s="9">
        <v>91.5</v>
      </c>
      <c r="I214" s="9">
        <v>690.1</v>
      </c>
      <c r="J214" s="6">
        <v>1</v>
      </c>
      <c r="K214" s="6">
        <v>0</v>
      </c>
      <c r="L214" s="6">
        <v>0</v>
      </c>
      <c r="M214" s="6">
        <v>0</v>
      </c>
      <c r="N214" s="11"/>
    </row>
    <row r="215" spans="1:14" ht="14.25">
      <c r="A215" s="6">
        <v>210</v>
      </c>
      <c r="B215" s="7" t="s">
        <v>360</v>
      </c>
      <c r="C215" s="8">
        <v>101</v>
      </c>
      <c r="D215" s="8">
        <v>101</v>
      </c>
      <c r="E215" s="8">
        <v>340</v>
      </c>
      <c r="F215" s="6">
        <v>2</v>
      </c>
      <c r="G215" s="6">
        <v>2</v>
      </c>
      <c r="H215" s="9">
        <v>441</v>
      </c>
      <c r="I215" s="9">
        <v>441</v>
      </c>
      <c r="J215" s="6">
        <v>0</v>
      </c>
      <c r="K215" s="6">
        <v>1</v>
      </c>
      <c r="L215" s="6">
        <v>1</v>
      </c>
      <c r="M215" s="6">
        <v>0</v>
      </c>
      <c r="N215" s="11"/>
    </row>
    <row r="216" spans="1:14" ht="14.25">
      <c r="A216" s="6">
        <v>211</v>
      </c>
      <c r="B216" s="7" t="s">
        <v>361</v>
      </c>
      <c r="C216" s="8">
        <v>335</v>
      </c>
      <c r="D216" s="8">
        <v>300</v>
      </c>
      <c r="E216" s="8">
        <v>335</v>
      </c>
      <c r="F216" s="6">
        <v>1</v>
      </c>
      <c r="G216" s="6">
        <v>1</v>
      </c>
      <c r="H216" s="9">
        <v>335</v>
      </c>
      <c r="I216" s="9">
        <v>335</v>
      </c>
      <c r="J216" s="6">
        <v>0</v>
      </c>
      <c r="K216" s="6">
        <v>0</v>
      </c>
      <c r="L216" s="6">
        <v>0</v>
      </c>
      <c r="M216" s="6">
        <v>1</v>
      </c>
      <c r="N216" s="11"/>
    </row>
    <row r="217" spans="1:14" ht="14.25">
      <c r="A217" s="6">
        <v>212</v>
      </c>
      <c r="B217" s="7" t="s">
        <v>362</v>
      </c>
      <c r="C217" s="8">
        <v>333.4</v>
      </c>
      <c r="D217" s="8">
        <v>300</v>
      </c>
      <c r="E217" s="8">
        <v>333.4</v>
      </c>
      <c r="F217" s="6">
        <v>1</v>
      </c>
      <c r="G217" s="6">
        <v>1</v>
      </c>
      <c r="H217" s="9">
        <v>333.4</v>
      </c>
      <c r="I217" s="9">
        <v>333.4</v>
      </c>
      <c r="J217" s="6">
        <v>0</v>
      </c>
      <c r="K217" s="6">
        <v>0</v>
      </c>
      <c r="L217" s="6">
        <v>0</v>
      </c>
      <c r="M217" s="6">
        <v>1</v>
      </c>
      <c r="N217" s="11"/>
    </row>
    <row r="218" spans="1:14" ht="14.25">
      <c r="A218" s="6">
        <v>213</v>
      </c>
      <c r="B218" s="7" t="s">
        <v>363</v>
      </c>
      <c r="C218" s="8">
        <v>215</v>
      </c>
      <c r="D218" s="8">
        <v>215</v>
      </c>
      <c r="E218" s="8">
        <v>325</v>
      </c>
      <c r="F218" s="6">
        <v>2</v>
      </c>
      <c r="G218" s="6">
        <v>2</v>
      </c>
      <c r="H218" s="9">
        <v>540</v>
      </c>
      <c r="I218" s="9">
        <v>540</v>
      </c>
      <c r="J218" s="6">
        <v>0</v>
      </c>
      <c r="K218" s="6">
        <v>0</v>
      </c>
      <c r="L218" s="6">
        <v>1</v>
      </c>
      <c r="M218" s="6">
        <v>1</v>
      </c>
      <c r="N218" s="11"/>
    </row>
    <row r="219" spans="1:14" ht="14.25">
      <c r="A219" s="6">
        <v>214</v>
      </c>
      <c r="B219" s="7" t="s">
        <v>364</v>
      </c>
      <c r="C219" s="8">
        <v>57</v>
      </c>
      <c r="D219" s="8">
        <v>57</v>
      </c>
      <c r="E219" s="8">
        <v>321</v>
      </c>
      <c r="F219" s="6">
        <v>3</v>
      </c>
      <c r="G219" s="6">
        <v>3</v>
      </c>
      <c r="H219" s="9">
        <v>485</v>
      </c>
      <c r="I219" s="9">
        <v>485</v>
      </c>
      <c r="J219" s="6">
        <v>0</v>
      </c>
      <c r="K219" s="6">
        <v>2</v>
      </c>
      <c r="L219" s="6">
        <v>0</v>
      </c>
      <c r="M219" s="6">
        <v>1</v>
      </c>
      <c r="N219" s="11"/>
    </row>
    <row r="220" spans="1:14" ht="14.25">
      <c r="A220" s="6">
        <v>215</v>
      </c>
      <c r="B220" s="7" t="s">
        <v>365</v>
      </c>
      <c r="C220" s="8">
        <v>320</v>
      </c>
      <c r="D220" s="8">
        <v>300</v>
      </c>
      <c r="E220" s="8">
        <v>320</v>
      </c>
      <c r="F220" s="6">
        <v>1</v>
      </c>
      <c r="G220" s="6">
        <v>1</v>
      </c>
      <c r="H220" s="9">
        <v>320</v>
      </c>
      <c r="I220" s="9">
        <v>320</v>
      </c>
      <c r="J220" s="6">
        <v>0</v>
      </c>
      <c r="K220" s="6">
        <v>0</v>
      </c>
      <c r="L220" s="6">
        <v>0</v>
      </c>
      <c r="M220" s="6">
        <v>1</v>
      </c>
      <c r="N220" s="11"/>
    </row>
    <row r="221" spans="1:14" ht="14.25">
      <c r="A221" s="6">
        <v>216</v>
      </c>
      <c r="B221" s="7" t="s">
        <v>366</v>
      </c>
      <c r="C221" s="8">
        <v>31.7</v>
      </c>
      <c r="D221" s="8">
        <v>31.7</v>
      </c>
      <c r="E221" s="8">
        <v>320</v>
      </c>
      <c r="F221" s="6">
        <v>4</v>
      </c>
      <c r="G221" s="6">
        <v>3</v>
      </c>
      <c r="H221" s="9">
        <v>571.5</v>
      </c>
      <c r="I221" s="9">
        <v>603.20000000000005</v>
      </c>
      <c r="J221" s="6">
        <v>0</v>
      </c>
      <c r="K221" s="6">
        <v>1</v>
      </c>
      <c r="L221" s="6">
        <v>1</v>
      </c>
      <c r="M221" s="6">
        <v>1</v>
      </c>
      <c r="N221" s="11"/>
    </row>
    <row r="222" spans="1:14" ht="14.25">
      <c r="A222" s="6">
        <v>217</v>
      </c>
      <c r="B222" s="7" t="s">
        <v>367</v>
      </c>
      <c r="C222" s="8">
        <v>320</v>
      </c>
      <c r="D222" s="8">
        <v>300</v>
      </c>
      <c r="E222" s="8">
        <v>320</v>
      </c>
      <c r="F222" s="6">
        <v>1</v>
      </c>
      <c r="G222" s="6">
        <v>1</v>
      </c>
      <c r="H222" s="9">
        <v>320</v>
      </c>
      <c r="I222" s="9">
        <v>320</v>
      </c>
      <c r="J222" s="6">
        <v>0</v>
      </c>
      <c r="K222" s="6">
        <v>0</v>
      </c>
      <c r="L222" s="6">
        <v>0</v>
      </c>
      <c r="M222" s="6">
        <v>1</v>
      </c>
      <c r="N222" s="11"/>
    </row>
    <row r="223" spans="1:14" ht="14.25">
      <c r="A223" s="6">
        <v>218</v>
      </c>
      <c r="B223" s="7" t="s">
        <v>368</v>
      </c>
      <c r="C223" s="8">
        <v>55</v>
      </c>
      <c r="D223" s="8">
        <v>55</v>
      </c>
      <c r="E223" s="8">
        <v>311</v>
      </c>
      <c r="F223" s="6">
        <v>3</v>
      </c>
      <c r="G223" s="6">
        <v>3</v>
      </c>
      <c r="H223" s="9">
        <v>436.5</v>
      </c>
      <c r="I223" s="9">
        <v>436.5</v>
      </c>
      <c r="J223" s="6">
        <v>1</v>
      </c>
      <c r="K223" s="6">
        <v>1</v>
      </c>
      <c r="L223" s="6">
        <v>1</v>
      </c>
      <c r="M223" s="6">
        <v>0</v>
      </c>
      <c r="N223" s="11"/>
    </row>
    <row r="224" spans="1:14" ht="14.25">
      <c r="A224" s="6">
        <v>219</v>
      </c>
      <c r="B224" s="7" t="s">
        <v>369</v>
      </c>
      <c r="C224" s="8">
        <v>308.39999999999998</v>
      </c>
      <c r="D224" s="8">
        <v>300</v>
      </c>
      <c r="E224" s="8">
        <v>308.39999999999998</v>
      </c>
      <c r="F224" s="6">
        <v>1</v>
      </c>
      <c r="G224" s="6">
        <v>1</v>
      </c>
      <c r="H224" s="9">
        <v>308.39999999999998</v>
      </c>
      <c r="I224" s="9">
        <v>308.39999999999998</v>
      </c>
      <c r="J224" s="6">
        <v>1</v>
      </c>
      <c r="K224" s="6">
        <v>0</v>
      </c>
      <c r="L224" s="6">
        <v>0</v>
      </c>
      <c r="M224" s="6">
        <v>0</v>
      </c>
      <c r="N224" s="11"/>
    </row>
    <row r="225" spans="1:14" ht="14.25">
      <c r="A225" s="6">
        <v>220</v>
      </c>
      <c r="B225" s="7" t="s">
        <v>370</v>
      </c>
      <c r="C225" s="8">
        <v>301.5</v>
      </c>
      <c r="D225" s="8">
        <v>300</v>
      </c>
      <c r="E225" s="8">
        <v>301.5</v>
      </c>
      <c r="F225" s="6">
        <v>1</v>
      </c>
      <c r="G225" s="6">
        <v>1</v>
      </c>
      <c r="H225" s="9">
        <v>301.5</v>
      </c>
      <c r="I225" s="9">
        <v>301.5</v>
      </c>
      <c r="J225" s="6">
        <v>1</v>
      </c>
      <c r="K225" s="6">
        <v>0</v>
      </c>
      <c r="L225" s="6">
        <v>0</v>
      </c>
      <c r="M225" s="6">
        <v>0</v>
      </c>
      <c r="N225" s="11"/>
    </row>
    <row r="226" spans="1:14" ht="14.25">
      <c r="A226" s="6">
        <v>221</v>
      </c>
      <c r="B226" s="7" t="s">
        <v>371</v>
      </c>
      <c r="C226" s="8">
        <v>45</v>
      </c>
      <c r="D226" s="8">
        <v>45</v>
      </c>
      <c r="E226" s="8">
        <v>301.5</v>
      </c>
      <c r="F226" s="6">
        <v>2</v>
      </c>
      <c r="G226" s="6">
        <v>2</v>
      </c>
      <c r="H226" s="9">
        <v>346.5</v>
      </c>
      <c r="I226" s="9">
        <v>346.5</v>
      </c>
      <c r="J226" s="6">
        <v>2</v>
      </c>
      <c r="K226" s="6">
        <v>0</v>
      </c>
      <c r="L226" s="6">
        <v>0</v>
      </c>
      <c r="M226" s="6">
        <v>0</v>
      </c>
      <c r="N226" s="11"/>
    </row>
    <row r="227" spans="1:14" ht="14.25">
      <c r="A227" s="6">
        <v>222</v>
      </c>
      <c r="B227" s="7" t="s">
        <v>372</v>
      </c>
      <c r="C227" s="8">
        <v>300</v>
      </c>
      <c r="D227" s="8">
        <v>300</v>
      </c>
      <c r="E227" s="8">
        <v>300</v>
      </c>
      <c r="F227" s="6">
        <v>1</v>
      </c>
      <c r="G227" s="6">
        <v>1</v>
      </c>
      <c r="H227" s="9">
        <v>300</v>
      </c>
      <c r="I227" s="9">
        <v>300</v>
      </c>
      <c r="J227" s="6">
        <v>0</v>
      </c>
      <c r="K227" s="6">
        <v>0</v>
      </c>
      <c r="L227" s="6">
        <v>1</v>
      </c>
      <c r="M227" s="6">
        <v>0</v>
      </c>
      <c r="N227" s="11"/>
    </row>
    <row r="228" spans="1:14" ht="14.25">
      <c r="A228" s="6">
        <v>223</v>
      </c>
      <c r="B228" s="7" t="s">
        <v>373</v>
      </c>
      <c r="C228" s="8">
        <v>200</v>
      </c>
      <c r="D228" s="8">
        <v>200</v>
      </c>
      <c r="E228" s="8">
        <v>300</v>
      </c>
      <c r="F228" s="6">
        <v>4</v>
      </c>
      <c r="G228" s="6">
        <v>2</v>
      </c>
      <c r="H228" s="9">
        <v>520.5</v>
      </c>
      <c r="I228" s="9">
        <v>1020.5</v>
      </c>
      <c r="J228" s="6">
        <v>0</v>
      </c>
      <c r="K228" s="6">
        <v>1</v>
      </c>
      <c r="L228" s="6">
        <v>0</v>
      </c>
      <c r="M228" s="6">
        <v>1</v>
      </c>
      <c r="N228" s="11"/>
    </row>
    <row r="229" spans="1:14" ht="14.25">
      <c r="A229" s="6">
        <v>224</v>
      </c>
      <c r="B229" s="7" t="s">
        <v>374</v>
      </c>
      <c r="C229" s="8">
        <v>300</v>
      </c>
      <c r="D229" s="8">
        <v>300</v>
      </c>
      <c r="E229" s="8">
        <v>300</v>
      </c>
      <c r="F229" s="6">
        <v>1</v>
      </c>
      <c r="G229" s="6">
        <v>1</v>
      </c>
      <c r="H229" s="9">
        <v>300</v>
      </c>
      <c r="I229" s="9">
        <v>300</v>
      </c>
      <c r="J229" s="6">
        <v>0</v>
      </c>
      <c r="K229" s="6">
        <v>0</v>
      </c>
      <c r="L229" s="6">
        <v>1</v>
      </c>
      <c r="M229" s="6">
        <v>0</v>
      </c>
      <c r="N229" s="11"/>
    </row>
    <row r="230" spans="1:14" ht="14.25">
      <c r="A230" s="6">
        <v>225</v>
      </c>
      <c r="B230" s="7" t="s">
        <v>375</v>
      </c>
      <c r="C230" s="8">
        <v>295.2</v>
      </c>
      <c r="D230" s="8">
        <v>295.2</v>
      </c>
      <c r="E230" s="8">
        <v>295.2</v>
      </c>
      <c r="F230" s="6">
        <v>1</v>
      </c>
      <c r="G230" s="6">
        <v>1</v>
      </c>
      <c r="H230" s="9">
        <v>295.2</v>
      </c>
      <c r="I230" s="9">
        <v>295.2</v>
      </c>
      <c r="J230" s="6">
        <v>0</v>
      </c>
      <c r="K230" s="6">
        <v>0</v>
      </c>
      <c r="L230" s="6">
        <v>1</v>
      </c>
      <c r="M230" s="6">
        <v>0</v>
      </c>
      <c r="N230" s="11"/>
    </row>
    <row r="231" spans="1:14" ht="14.25">
      <c r="A231" s="6">
        <v>226</v>
      </c>
      <c r="B231" s="7" t="s">
        <v>376</v>
      </c>
      <c r="C231" s="8">
        <v>200</v>
      </c>
      <c r="D231" s="8">
        <v>200</v>
      </c>
      <c r="E231" s="8">
        <v>293.8</v>
      </c>
      <c r="F231" s="6">
        <v>2</v>
      </c>
      <c r="G231" s="6">
        <v>2</v>
      </c>
      <c r="H231" s="9">
        <v>493.8</v>
      </c>
      <c r="I231" s="9">
        <v>493.8</v>
      </c>
      <c r="J231" s="6">
        <v>0</v>
      </c>
      <c r="K231" s="6">
        <v>1</v>
      </c>
      <c r="L231" s="6">
        <v>0</v>
      </c>
      <c r="M231" s="6">
        <v>1</v>
      </c>
      <c r="N231" s="11"/>
    </row>
    <row r="232" spans="1:14" ht="14.25">
      <c r="A232" s="6">
        <v>227</v>
      </c>
      <c r="B232" s="7" t="s">
        <v>377</v>
      </c>
      <c r="C232" s="8">
        <v>136</v>
      </c>
      <c r="D232" s="8">
        <v>136</v>
      </c>
      <c r="E232" s="8">
        <v>291</v>
      </c>
      <c r="F232" s="6">
        <v>3</v>
      </c>
      <c r="G232" s="6">
        <v>2</v>
      </c>
      <c r="H232" s="9">
        <v>433.5</v>
      </c>
      <c r="I232" s="9">
        <v>569.5</v>
      </c>
      <c r="J232" s="6">
        <v>0</v>
      </c>
      <c r="K232" s="6">
        <v>1</v>
      </c>
      <c r="L232" s="6">
        <v>0</v>
      </c>
      <c r="M232" s="6">
        <v>1</v>
      </c>
      <c r="N232" s="11"/>
    </row>
    <row r="233" spans="1:14" ht="14.25">
      <c r="A233" s="6">
        <v>228</v>
      </c>
      <c r="B233" s="7" t="s">
        <v>378</v>
      </c>
      <c r="C233" s="8">
        <v>288</v>
      </c>
      <c r="D233" s="8">
        <v>288</v>
      </c>
      <c r="E233" s="8">
        <v>288</v>
      </c>
      <c r="F233" s="6">
        <v>1</v>
      </c>
      <c r="G233" s="6">
        <v>1</v>
      </c>
      <c r="H233" s="9">
        <v>288</v>
      </c>
      <c r="I233" s="9">
        <v>288</v>
      </c>
      <c r="J233" s="6">
        <v>0</v>
      </c>
      <c r="K233" s="6">
        <v>0</v>
      </c>
      <c r="L233" s="6">
        <v>0</v>
      </c>
      <c r="M233" s="6">
        <v>1</v>
      </c>
      <c r="N233" s="11"/>
    </row>
    <row r="234" spans="1:14" ht="14.25">
      <c r="A234" s="6">
        <v>229</v>
      </c>
      <c r="B234" s="7" t="s">
        <v>379</v>
      </c>
      <c r="C234" s="8">
        <v>132</v>
      </c>
      <c r="D234" s="8">
        <v>132</v>
      </c>
      <c r="E234" s="8">
        <v>280</v>
      </c>
      <c r="F234" s="6">
        <v>2</v>
      </c>
      <c r="G234" s="6">
        <v>1</v>
      </c>
      <c r="H234" s="9">
        <v>132</v>
      </c>
      <c r="I234" s="9">
        <v>412</v>
      </c>
      <c r="J234" s="6">
        <v>0</v>
      </c>
      <c r="K234" s="6">
        <v>1</v>
      </c>
      <c r="L234" s="6">
        <v>0</v>
      </c>
      <c r="M234" s="6">
        <v>0</v>
      </c>
      <c r="N234" s="11"/>
    </row>
    <row r="235" spans="1:14" ht="14.25">
      <c r="A235" s="6">
        <v>230</v>
      </c>
      <c r="B235" s="7" t="s">
        <v>380</v>
      </c>
      <c r="C235" s="8">
        <v>32.700000000000003</v>
      </c>
      <c r="D235" s="8">
        <v>32.700000000000003</v>
      </c>
      <c r="E235" s="8">
        <v>275</v>
      </c>
      <c r="F235" s="6">
        <v>5</v>
      </c>
      <c r="G235" s="6">
        <v>4</v>
      </c>
      <c r="H235" s="9">
        <v>226.7</v>
      </c>
      <c r="I235" s="9">
        <v>501.7</v>
      </c>
      <c r="J235" s="6">
        <v>1</v>
      </c>
      <c r="K235" s="6">
        <v>0</v>
      </c>
      <c r="L235" s="6">
        <v>1</v>
      </c>
      <c r="M235" s="6">
        <v>2</v>
      </c>
      <c r="N235" s="11"/>
    </row>
    <row r="236" spans="1:14" ht="14.25">
      <c r="A236" s="6">
        <v>231</v>
      </c>
      <c r="B236" s="7" t="s">
        <v>381</v>
      </c>
      <c r="C236" s="8">
        <v>50</v>
      </c>
      <c r="D236" s="8">
        <v>50</v>
      </c>
      <c r="E236" s="8">
        <v>266.7</v>
      </c>
      <c r="F236" s="6">
        <v>3</v>
      </c>
      <c r="G236" s="6">
        <v>3</v>
      </c>
      <c r="H236" s="9">
        <v>368.2</v>
      </c>
      <c r="I236" s="9">
        <v>368.2</v>
      </c>
      <c r="J236" s="6">
        <v>1</v>
      </c>
      <c r="K236" s="6">
        <v>1</v>
      </c>
      <c r="L236" s="6">
        <v>0</v>
      </c>
      <c r="M236" s="6">
        <v>1</v>
      </c>
      <c r="N236" s="11"/>
    </row>
    <row r="237" spans="1:14" ht="14.25">
      <c r="A237" s="6">
        <v>232</v>
      </c>
      <c r="B237" s="7" t="s">
        <v>382</v>
      </c>
      <c r="C237" s="8">
        <v>266</v>
      </c>
      <c r="D237" s="8">
        <v>266</v>
      </c>
      <c r="E237" s="8">
        <v>266</v>
      </c>
      <c r="F237" s="6">
        <v>1</v>
      </c>
      <c r="G237" s="6">
        <v>1</v>
      </c>
      <c r="H237" s="9">
        <v>266</v>
      </c>
      <c r="I237" s="9">
        <v>266</v>
      </c>
      <c r="J237" s="6">
        <v>1</v>
      </c>
      <c r="K237" s="6">
        <v>0</v>
      </c>
      <c r="L237" s="6">
        <v>0</v>
      </c>
      <c r="M237" s="6">
        <v>0</v>
      </c>
      <c r="N237" s="11"/>
    </row>
    <row r="238" spans="1:14" ht="14.25">
      <c r="A238" s="6">
        <v>233</v>
      </c>
      <c r="B238" s="7" t="s">
        <v>383</v>
      </c>
      <c r="C238" s="8">
        <v>265</v>
      </c>
      <c r="D238" s="8">
        <v>265</v>
      </c>
      <c r="E238" s="8">
        <v>265</v>
      </c>
      <c r="F238" s="6">
        <v>1</v>
      </c>
      <c r="G238" s="6">
        <v>1</v>
      </c>
      <c r="H238" s="9">
        <v>265</v>
      </c>
      <c r="I238" s="9">
        <v>265</v>
      </c>
      <c r="J238" s="6">
        <v>1</v>
      </c>
      <c r="K238" s="6">
        <v>0</v>
      </c>
      <c r="L238" s="6">
        <v>0</v>
      </c>
      <c r="M238" s="6">
        <v>0</v>
      </c>
      <c r="N238" s="11"/>
    </row>
    <row r="239" spans="1:14" ht="14.25">
      <c r="A239" s="6">
        <v>234</v>
      </c>
      <c r="B239" s="7" t="s">
        <v>384</v>
      </c>
      <c r="C239" s="8">
        <v>107.5</v>
      </c>
      <c r="D239" s="8">
        <v>107.5</v>
      </c>
      <c r="E239" s="8">
        <v>258</v>
      </c>
      <c r="F239" s="6">
        <v>4</v>
      </c>
      <c r="G239" s="6">
        <v>4</v>
      </c>
      <c r="H239" s="9">
        <v>611.5</v>
      </c>
      <c r="I239" s="9">
        <v>611.5</v>
      </c>
      <c r="J239" s="6">
        <v>2</v>
      </c>
      <c r="K239" s="6">
        <v>1</v>
      </c>
      <c r="L239" s="6">
        <v>0</v>
      </c>
      <c r="M239" s="6">
        <v>1</v>
      </c>
      <c r="N239" s="11"/>
    </row>
    <row r="240" spans="1:14" ht="14.25">
      <c r="A240" s="6">
        <v>235</v>
      </c>
      <c r="B240" s="7" t="s">
        <v>385</v>
      </c>
      <c r="C240" s="8">
        <v>257.89999999999998</v>
      </c>
      <c r="D240" s="8">
        <v>257.89999999999998</v>
      </c>
      <c r="E240" s="8">
        <v>257.89999999999998</v>
      </c>
      <c r="F240" s="6">
        <v>1</v>
      </c>
      <c r="G240" s="6">
        <v>1</v>
      </c>
      <c r="H240" s="9">
        <v>257.89999999999998</v>
      </c>
      <c r="I240" s="9">
        <v>257.89999999999998</v>
      </c>
      <c r="J240" s="6">
        <v>0</v>
      </c>
      <c r="K240" s="6">
        <v>0</v>
      </c>
      <c r="L240" s="6">
        <v>1</v>
      </c>
      <c r="M240" s="6">
        <v>0</v>
      </c>
      <c r="N240" s="11"/>
    </row>
    <row r="241" spans="1:14" ht="14.25">
      <c r="A241" s="6">
        <v>236</v>
      </c>
      <c r="B241" s="7" t="s">
        <v>386</v>
      </c>
      <c r="C241" s="8">
        <v>257</v>
      </c>
      <c r="D241" s="8">
        <v>257</v>
      </c>
      <c r="E241" s="8">
        <v>257</v>
      </c>
      <c r="F241" s="6">
        <v>1</v>
      </c>
      <c r="G241" s="6">
        <v>1</v>
      </c>
      <c r="H241" s="9">
        <v>257</v>
      </c>
      <c r="I241" s="9">
        <v>257</v>
      </c>
      <c r="J241" s="6">
        <v>1</v>
      </c>
      <c r="K241" s="6">
        <v>0</v>
      </c>
      <c r="L241" s="6">
        <v>0</v>
      </c>
      <c r="M241" s="6">
        <v>0</v>
      </c>
      <c r="N241" s="11"/>
    </row>
    <row r="242" spans="1:14" ht="14.25">
      <c r="A242" s="6">
        <v>237</v>
      </c>
      <c r="B242" s="7" t="s">
        <v>387</v>
      </c>
      <c r="C242" s="8">
        <v>26</v>
      </c>
      <c r="D242" s="8">
        <v>26</v>
      </c>
      <c r="E242" s="8">
        <v>257</v>
      </c>
      <c r="F242" s="6">
        <v>7</v>
      </c>
      <c r="G242" s="6">
        <v>7</v>
      </c>
      <c r="H242" s="9">
        <v>564.20000000000005</v>
      </c>
      <c r="I242" s="9">
        <v>564.20000000000005</v>
      </c>
      <c r="J242" s="6">
        <v>4</v>
      </c>
      <c r="K242" s="6">
        <v>1</v>
      </c>
      <c r="L242" s="6">
        <v>0</v>
      </c>
      <c r="M242" s="6">
        <v>2</v>
      </c>
      <c r="N242" s="11"/>
    </row>
    <row r="243" spans="1:14" ht="14.25">
      <c r="A243" s="6">
        <v>238</v>
      </c>
      <c r="B243" s="7" t="s">
        <v>388</v>
      </c>
      <c r="C243" s="8">
        <v>5</v>
      </c>
      <c r="D243" s="8">
        <v>5</v>
      </c>
      <c r="E243" s="8">
        <v>250</v>
      </c>
      <c r="F243" s="6">
        <v>2</v>
      </c>
      <c r="G243" s="6">
        <v>2</v>
      </c>
      <c r="H243" s="9">
        <v>255</v>
      </c>
      <c r="I243" s="9">
        <v>255</v>
      </c>
      <c r="J243" s="6">
        <v>2</v>
      </c>
      <c r="K243" s="6">
        <v>0</v>
      </c>
      <c r="L243" s="6">
        <v>0</v>
      </c>
      <c r="M243" s="6">
        <v>0</v>
      </c>
      <c r="N243" s="11"/>
    </row>
    <row r="244" spans="1:14" ht="14.25">
      <c r="A244" s="6">
        <v>239</v>
      </c>
      <c r="B244" s="7" t="s">
        <v>389</v>
      </c>
      <c r="C244" s="8">
        <v>246.2</v>
      </c>
      <c r="D244" s="8">
        <v>246.2</v>
      </c>
      <c r="E244" s="8">
        <v>246.2</v>
      </c>
      <c r="F244" s="6">
        <v>1</v>
      </c>
      <c r="G244" s="6">
        <v>1</v>
      </c>
      <c r="H244" s="9">
        <v>246.2</v>
      </c>
      <c r="I244" s="9">
        <v>246.2</v>
      </c>
      <c r="J244" s="6">
        <v>1</v>
      </c>
      <c r="K244" s="6">
        <v>0</v>
      </c>
      <c r="L244" s="6">
        <v>0</v>
      </c>
      <c r="M244" s="6">
        <v>0</v>
      </c>
      <c r="N244" s="11"/>
    </row>
    <row r="245" spans="1:14" ht="14.25">
      <c r="A245" s="6">
        <v>240</v>
      </c>
      <c r="B245" s="7" t="s">
        <v>390</v>
      </c>
      <c r="C245" s="8">
        <v>246.2</v>
      </c>
      <c r="D245" s="8">
        <v>246.2</v>
      </c>
      <c r="E245" s="8">
        <v>246.2</v>
      </c>
      <c r="F245" s="6">
        <v>1</v>
      </c>
      <c r="G245" s="6">
        <v>1</v>
      </c>
      <c r="H245" s="9">
        <v>246.2</v>
      </c>
      <c r="I245" s="9">
        <v>246.2</v>
      </c>
      <c r="J245" s="6">
        <v>1</v>
      </c>
      <c r="K245" s="6">
        <v>0</v>
      </c>
      <c r="L245" s="6">
        <v>0</v>
      </c>
      <c r="M245" s="6">
        <v>0</v>
      </c>
      <c r="N245" s="11"/>
    </row>
    <row r="246" spans="1:14" ht="14.25">
      <c r="A246" s="6">
        <v>241</v>
      </c>
      <c r="B246" s="7" t="s">
        <v>391</v>
      </c>
      <c r="C246" s="8">
        <v>245</v>
      </c>
      <c r="D246" s="8">
        <v>245</v>
      </c>
      <c r="E246" s="8">
        <v>245</v>
      </c>
      <c r="F246" s="6">
        <v>1</v>
      </c>
      <c r="G246" s="6">
        <v>1</v>
      </c>
      <c r="H246" s="9">
        <v>245</v>
      </c>
      <c r="I246" s="9">
        <v>245</v>
      </c>
      <c r="J246" s="6">
        <v>0</v>
      </c>
      <c r="K246" s="6">
        <v>0</v>
      </c>
      <c r="L246" s="6">
        <v>1</v>
      </c>
      <c r="M246" s="6">
        <v>0</v>
      </c>
      <c r="N246" s="11"/>
    </row>
    <row r="247" spans="1:14" ht="14.25">
      <c r="A247" s="6">
        <v>242</v>
      </c>
      <c r="B247" s="7" t="s">
        <v>392</v>
      </c>
      <c r="C247" s="8">
        <v>233</v>
      </c>
      <c r="D247" s="8">
        <v>233</v>
      </c>
      <c r="E247" s="8">
        <v>233</v>
      </c>
      <c r="F247" s="6">
        <v>1</v>
      </c>
      <c r="G247" s="6">
        <v>1</v>
      </c>
      <c r="H247" s="9">
        <v>233</v>
      </c>
      <c r="I247" s="9">
        <v>233</v>
      </c>
      <c r="J247" s="6">
        <v>0</v>
      </c>
      <c r="K247" s="6">
        <v>1</v>
      </c>
      <c r="L247" s="6">
        <v>0</v>
      </c>
      <c r="M247" s="6">
        <v>0</v>
      </c>
      <c r="N247" s="11"/>
    </row>
    <row r="248" spans="1:14" ht="14.25">
      <c r="A248" s="6">
        <v>243</v>
      </c>
      <c r="B248" s="7" t="s">
        <v>393</v>
      </c>
      <c r="C248" s="8">
        <v>115.1</v>
      </c>
      <c r="D248" s="8">
        <v>115.1</v>
      </c>
      <c r="E248" s="8">
        <v>232</v>
      </c>
      <c r="F248" s="6">
        <v>2</v>
      </c>
      <c r="G248" s="6">
        <v>1</v>
      </c>
      <c r="H248" s="9">
        <v>115.1</v>
      </c>
      <c r="I248" s="9">
        <v>347.1</v>
      </c>
      <c r="J248" s="6">
        <v>1</v>
      </c>
      <c r="K248" s="6">
        <v>0</v>
      </c>
      <c r="L248" s="6">
        <v>0</v>
      </c>
      <c r="M248" s="6">
        <v>0</v>
      </c>
      <c r="N248" s="11"/>
    </row>
    <row r="249" spans="1:14" ht="14.25">
      <c r="A249" s="6">
        <v>244</v>
      </c>
      <c r="B249" s="7" t="s">
        <v>394</v>
      </c>
      <c r="C249" s="8">
        <v>210</v>
      </c>
      <c r="D249" s="8">
        <v>210</v>
      </c>
      <c r="E249" s="8">
        <v>230</v>
      </c>
      <c r="F249" s="6">
        <v>2</v>
      </c>
      <c r="G249" s="6">
        <v>1</v>
      </c>
      <c r="H249" s="9">
        <v>230</v>
      </c>
      <c r="I249" s="9">
        <v>440</v>
      </c>
      <c r="J249" s="6">
        <v>0</v>
      </c>
      <c r="K249" s="6">
        <v>1</v>
      </c>
      <c r="L249" s="6">
        <v>0</v>
      </c>
      <c r="M249" s="6">
        <v>0</v>
      </c>
      <c r="N249" s="11"/>
    </row>
    <row r="250" spans="1:14" ht="14.25">
      <c r="A250" s="6">
        <v>245</v>
      </c>
      <c r="B250" s="7" t="s">
        <v>395</v>
      </c>
      <c r="C250" s="8">
        <v>96</v>
      </c>
      <c r="D250" s="8">
        <v>96</v>
      </c>
      <c r="E250" s="8">
        <v>224</v>
      </c>
      <c r="F250" s="6">
        <v>2</v>
      </c>
      <c r="G250" s="6">
        <v>2</v>
      </c>
      <c r="H250" s="9">
        <v>320</v>
      </c>
      <c r="I250" s="9">
        <v>320</v>
      </c>
      <c r="J250" s="6">
        <v>1</v>
      </c>
      <c r="K250" s="6">
        <v>1</v>
      </c>
      <c r="L250" s="6">
        <v>0</v>
      </c>
      <c r="M250" s="6">
        <v>0</v>
      </c>
      <c r="N250" s="11"/>
    </row>
    <row r="251" spans="1:14" ht="14.25">
      <c r="A251" s="6">
        <v>246</v>
      </c>
      <c r="B251" s="7" t="s">
        <v>396</v>
      </c>
      <c r="C251" s="8">
        <v>223</v>
      </c>
      <c r="D251" s="8">
        <v>223</v>
      </c>
      <c r="E251" s="8">
        <v>223</v>
      </c>
      <c r="F251" s="6">
        <v>1</v>
      </c>
      <c r="G251" s="6">
        <v>1</v>
      </c>
      <c r="H251" s="9">
        <v>223</v>
      </c>
      <c r="I251" s="9">
        <v>223</v>
      </c>
      <c r="J251" s="6">
        <v>0</v>
      </c>
      <c r="K251" s="6">
        <v>0</v>
      </c>
      <c r="L251" s="6">
        <v>0</v>
      </c>
      <c r="M251" s="6">
        <v>1</v>
      </c>
      <c r="N251" s="11"/>
    </row>
    <row r="252" spans="1:14" ht="14.25">
      <c r="A252" s="6">
        <v>247</v>
      </c>
      <c r="B252" s="7" t="s">
        <v>397</v>
      </c>
      <c r="C252" s="8">
        <v>20</v>
      </c>
      <c r="D252" s="8">
        <v>20</v>
      </c>
      <c r="E252" s="8">
        <v>220</v>
      </c>
      <c r="F252" s="6">
        <v>5</v>
      </c>
      <c r="G252" s="6">
        <v>3</v>
      </c>
      <c r="H252" s="9">
        <v>264</v>
      </c>
      <c r="I252" s="9">
        <v>525.70000000000005</v>
      </c>
      <c r="J252" s="6">
        <v>3</v>
      </c>
      <c r="K252" s="6">
        <v>0</v>
      </c>
      <c r="L252" s="6">
        <v>0</v>
      </c>
      <c r="M252" s="6">
        <v>0</v>
      </c>
      <c r="N252" s="11"/>
    </row>
    <row r="253" spans="1:14" ht="14.25">
      <c r="A253" s="6">
        <v>248</v>
      </c>
      <c r="B253" s="7" t="s">
        <v>398</v>
      </c>
      <c r="C253" s="8">
        <v>27.5</v>
      </c>
      <c r="D253" s="8">
        <v>27.5</v>
      </c>
      <c r="E253" s="8">
        <v>220</v>
      </c>
      <c r="F253" s="6">
        <v>5</v>
      </c>
      <c r="G253" s="6">
        <v>5</v>
      </c>
      <c r="H253" s="9">
        <v>512.6</v>
      </c>
      <c r="I253" s="9">
        <v>512.6</v>
      </c>
      <c r="J253" s="6">
        <v>3</v>
      </c>
      <c r="K253" s="6">
        <v>0</v>
      </c>
      <c r="L253" s="6">
        <v>0</v>
      </c>
      <c r="M253" s="6">
        <v>2</v>
      </c>
      <c r="N253" s="11"/>
    </row>
    <row r="254" spans="1:14" ht="14.25">
      <c r="A254" s="6">
        <v>249</v>
      </c>
      <c r="B254" s="7" t="s">
        <v>399</v>
      </c>
      <c r="C254" s="8">
        <v>220</v>
      </c>
      <c r="D254" s="8">
        <v>220</v>
      </c>
      <c r="E254" s="8">
        <v>220</v>
      </c>
      <c r="F254" s="6">
        <v>1</v>
      </c>
      <c r="G254" s="6">
        <v>1</v>
      </c>
      <c r="H254" s="9">
        <v>220</v>
      </c>
      <c r="I254" s="9">
        <v>220</v>
      </c>
      <c r="J254" s="6">
        <v>1</v>
      </c>
      <c r="K254" s="6">
        <v>0</v>
      </c>
      <c r="L254" s="6">
        <v>0</v>
      </c>
      <c r="M254" s="6">
        <v>0</v>
      </c>
      <c r="N254" s="11"/>
    </row>
    <row r="255" spans="1:14" ht="14.25">
      <c r="A255" s="6">
        <v>250</v>
      </c>
      <c r="B255" s="7" t="s">
        <v>400</v>
      </c>
      <c r="C255" s="8">
        <v>192</v>
      </c>
      <c r="D255" s="8">
        <v>192</v>
      </c>
      <c r="E255" s="8">
        <v>219.5</v>
      </c>
      <c r="F255" s="6">
        <v>2</v>
      </c>
      <c r="G255" s="6">
        <v>2</v>
      </c>
      <c r="H255" s="9">
        <v>411.5</v>
      </c>
      <c r="I255" s="9">
        <v>411.5</v>
      </c>
      <c r="J255" s="6">
        <v>1</v>
      </c>
      <c r="K255" s="6">
        <v>1</v>
      </c>
      <c r="L255" s="6">
        <v>0</v>
      </c>
      <c r="M255" s="6">
        <v>0</v>
      </c>
      <c r="N255" s="11"/>
    </row>
    <row r="256" spans="1:14" ht="14.25">
      <c r="A256" s="6">
        <v>251</v>
      </c>
      <c r="B256" s="7" t="s">
        <v>401</v>
      </c>
      <c r="C256" s="8">
        <v>218</v>
      </c>
      <c r="D256" s="8">
        <v>218</v>
      </c>
      <c r="E256" s="8">
        <v>218</v>
      </c>
      <c r="F256" s="6">
        <v>1</v>
      </c>
      <c r="G256" s="6">
        <v>1</v>
      </c>
      <c r="H256" s="9">
        <v>218</v>
      </c>
      <c r="I256" s="9">
        <v>218</v>
      </c>
      <c r="J256" s="6">
        <v>1</v>
      </c>
      <c r="K256" s="6">
        <v>0</v>
      </c>
      <c r="L256" s="6">
        <v>0</v>
      </c>
      <c r="M256" s="6">
        <v>0</v>
      </c>
      <c r="N256" s="11"/>
    </row>
    <row r="257" spans="1:14" ht="14.25">
      <c r="A257" s="6">
        <v>252</v>
      </c>
      <c r="B257" s="7" t="s">
        <v>402</v>
      </c>
      <c r="C257" s="8">
        <v>43</v>
      </c>
      <c r="D257" s="8">
        <v>43</v>
      </c>
      <c r="E257" s="8">
        <v>210</v>
      </c>
      <c r="F257" s="6">
        <v>3</v>
      </c>
      <c r="G257" s="6">
        <v>3</v>
      </c>
      <c r="H257" s="9">
        <v>354</v>
      </c>
      <c r="I257" s="9">
        <v>354</v>
      </c>
      <c r="J257" s="6">
        <v>1</v>
      </c>
      <c r="K257" s="6">
        <v>1</v>
      </c>
      <c r="L257" s="6">
        <v>0</v>
      </c>
      <c r="M257" s="6">
        <v>1</v>
      </c>
      <c r="N257" s="11"/>
    </row>
    <row r="258" spans="1:14" ht="14.25">
      <c r="A258" s="6">
        <v>253</v>
      </c>
      <c r="B258" s="7" t="s">
        <v>403</v>
      </c>
      <c r="C258" s="8">
        <v>63.5</v>
      </c>
      <c r="D258" s="8">
        <v>63.5</v>
      </c>
      <c r="E258" s="8">
        <v>210</v>
      </c>
      <c r="F258" s="6">
        <v>3</v>
      </c>
      <c r="G258" s="6">
        <v>2</v>
      </c>
      <c r="H258" s="9">
        <v>273.5</v>
      </c>
      <c r="I258" s="9">
        <v>384.5</v>
      </c>
      <c r="J258" s="6">
        <v>0</v>
      </c>
      <c r="K258" s="6">
        <v>0</v>
      </c>
      <c r="L258" s="6">
        <v>1</v>
      </c>
      <c r="M258" s="6">
        <v>1</v>
      </c>
      <c r="N258" s="11"/>
    </row>
    <row r="259" spans="1:14" ht="14.25">
      <c r="A259" s="6">
        <v>254</v>
      </c>
      <c r="B259" s="7" t="s">
        <v>404</v>
      </c>
      <c r="C259" s="8">
        <v>210</v>
      </c>
      <c r="D259" s="8">
        <v>210</v>
      </c>
      <c r="E259" s="8">
        <v>210</v>
      </c>
      <c r="F259" s="6">
        <v>1</v>
      </c>
      <c r="G259" s="6">
        <v>1</v>
      </c>
      <c r="H259" s="9">
        <v>210</v>
      </c>
      <c r="I259" s="9">
        <v>210</v>
      </c>
      <c r="J259" s="6">
        <v>0</v>
      </c>
      <c r="K259" s="6">
        <v>1</v>
      </c>
      <c r="L259" s="6">
        <v>0</v>
      </c>
      <c r="M259" s="6">
        <v>0</v>
      </c>
      <c r="N259" s="11"/>
    </row>
    <row r="260" spans="1:14" ht="14.25">
      <c r="A260" s="6">
        <v>255</v>
      </c>
      <c r="B260" s="7" t="s">
        <v>405</v>
      </c>
      <c r="C260" s="8">
        <v>92</v>
      </c>
      <c r="D260" s="8">
        <v>92</v>
      </c>
      <c r="E260" s="8">
        <v>209.1</v>
      </c>
      <c r="F260" s="6">
        <v>2</v>
      </c>
      <c r="G260" s="6">
        <v>2</v>
      </c>
      <c r="H260" s="9">
        <v>301.10000000000002</v>
      </c>
      <c r="I260" s="9">
        <v>301.10000000000002</v>
      </c>
      <c r="J260" s="6">
        <v>0</v>
      </c>
      <c r="K260" s="6">
        <v>0</v>
      </c>
      <c r="L260" s="6">
        <v>0</v>
      </c>
      <c r="M260" s="6">
        <v>2</v>
      </c>
      <c r="N260" s="11"/>
    </row>
    <row r="261" spans="1:14" ht="14.25">
      <c r="A261" s="6">
        <v>256</v>
      </c>
      <c r="B261" s="7" t="s">
        <v>406</v>
      </c>
      <c r="C261" s="8">
        <v>207</v>
      </c>
      <c r="D261" s="8">
        <v>207</v>
      </c>
      <c r="E261" s="8">
        <v>207</v>
      </c>
      <c r="F261" s="6">
        <v>1</v>
      </c>
      <c r="G261" s="6">
        <v>1</v>
      </c>
      <c r="H261" s="9">
        <v>207</v>
      </c>
      <c r="I261" s="9">
        <v>207</v>
      </c>
      <c r="J261" s="6">
        <v>0</v>
      </c>
      <c r="K261" s="6">
        <v>0</v>
      </c>
      <c r="L261" s="6">
        <v>0</v>
      </c>
      <c r="M261" s="6">
        <v>1</v>
      </c>
      <c r="N261" s="11"/>
    </row>
    <row r="262" spans="1:14" ht="14.25">
      <c r="A262" s="6">
        <v>257</v>
      </c>
      <c r="B262" s="7" t="s">
        <v>407</v>
      </c>
      <c r="C262" s="8">
        <v>200</v>
      </c>
      <c r="D262" s="8">
        <v>200</v>
      </c>
      <c r="E262" s="8">
        <v>207</v>
      </c>
      <c r="F262" s="6">
        <v>2</v>
      </c>
      <c r="G262" s="6">
        <v>2</v>
      </c>
      <c r="H262" s="9">
        <v>407</v>
      </c>
      <c r="I262" s="9">
        <v>407</v>
      </c>
      <c r="J262" s="6">
        <v>2</v>
      </c>
      <c r="K262" s="6">
        <v>0</v>
      </c>
      <c r="L262" s="6">
        <v>0</v>
      </c>
      <c r="M262" s="6">
        <v>0</v>
      </c>
      <c r="N262" s="11"/>
    </row>
    <row r="263" spans="1:14" ht="14.25">
      <c r="A263" s="6">
        <v>258</v>
      </c>
      <c r="B263" s="7" t="s">
        <v>408</v>
      </c>
      <c r="C263" s="8">
        <v>37.5</v>
      </c>
      <c r="D263" s="8">
        <v>37.5</v>
      </c>
      <c r="E263" s="8">
        <v>206</v>
      </c>
      <c r="F263" s="6">
        <v>4</v>
      </c>
      <c r="G263" s="6">
        <v>3</v>
      </c>
      <c r="H263" s="9">
        <v>344.5</v>
      </c>
      <c r="I263" s="9">
        <v>397</v>
      </c>
      <c r="J263" s="6">
        <v>2</v>
      </c>
      <c r="K263" s="6">
        <v>0</v>
      </c>
      <c r="L263" s="6">
        <v>1</v>
      </c>
      <c r="M263" s="6">
        <v>0</v>
      </c>
      <c r="N263" s="11"/>
    </row>
    <row r="264" spans="1:14" ht="14.25">
      <c r="A264" s="6">
        <v>259</v>
      </c>
      <c r="B264" s="7" t="s">
        <v>409</v>
      </c>
      <c r="C264" s="8">
        <v>196</v>
      </c>
      <c r="D264" s="8">
        <v>196</v>
      </c>
      <c r="E264" s="8">
        <v>206</v>
      </c>
      <c r="F264" s="6">
        <v>2</v>
      </c>
      <c r="G264" s="6">
        <v>2</v>
      </c>
      <c r="H264" s="9">
        <v>402</v>
      </c>
      <c r="I264" s="9">
        <v>402</v>
      </c>
      <c r="J264" s="6">
        <v>1</v>
      </c>
      <c r="K264" s="6">
        <v>1</v>
      </c>
      <c r="L264" s="6">
        <v>0</v>
      </c>
      <c r="M264" s="6">
        <v>0</v>
      </c>
      <c r="N264" s="11"/>
    </row>
    <row r="265" spans="1:14" ht="14.25">
      <c r="A265" s="6">
        <v>260</v>
      </c>
      <c r="B265" s="7" t="s">
        <v>410</v>
      </c>
      <c r="C265" s="8">
        <v>203.5</v>
      </c>
      <c r="D265" s="8">
        <v>203.5</v>
      </c>
      <c r="E265" s="8">
        <v>203.5</v>
      </c>
      <c r="F265" s="6">
        <v>1</v>
      </c>
      <c r="G265" s="6">
        <v>1</v>
      </c>
      <c r="H265" s="9">
        <v>203.5</v>
      </c>
      <c r="I265" s="9">
        <v>203.5</v>
      </c>
      <c r="J265" s="6">
        <v>1</v>
      </c>
      <c r="K265" s="6">
        <v>0</v>
      </c>
      <c r="L265" s="6">
        <v>0</v>
      </c>
      <c r="M265" s="6">
        <v>0</v>
      </c>
      <c r="N265" s="11"/>
    </row>
    <row r="266" spans="1:14" ht="14.25">
      <c r="A266" s="6">
        <v>261</v>
      </c>
      <c r="B266" s="7" t="s">
        <v>411</v>
      </c>
      <c r="C266" s="8">
        <v>203.5</v>
      </c>
      <c r="D266" s="8">
        <v>203.5</v>
      </c>
      <c r="E266" s="8">
        <v>203.5</v>
      </c>
      <c r="F266" s="6">
        <v>1</v>
      </c>
      <c r="G266" s="6">
        <v>1</v>
      </c>
      <c r="H266" s="9">
        <v>203.5</v>
      </c>
      <c r="I266" s="9">
        <v>203.5</v>
      </c>
      <c r="J266" s="6">
        <v>1</v>
      </c>
      <c r="K266" s="6">
        <v>0</v>
      </c>
      <c r="L266" s="6">
        <v>0</v>
      </c>
      <c r="M266" s="6">
        <v>0</v>
      </c>
      <c r="N266" s="11"/>
    </row>
    <row r="267" spans="1:14" ht="14.25">
      <c r="A267" s="6">
        <v>262</v>
      </c>
      <c r="B267" s="7" t="s">
        <v>412</v>
      </c>
      <c r="C267" s="8">
        <v>202</v>
      </c>
      <c r="D267" s="8">
        <v>202</v>
      </c>
      <c r="E267" s="8">
        <v>202</v>
      </c>
      <c r="F267" s="6">
        <v>1</v>
      </c>
      <c r="G267" s="6">
        <v>1</v>
      </c>
      <c r="H267" s="9">
        <v>202</v>
      </c>
      <c r="I267" s="9">
        <v>202</v>
      </c>
      <c r="J267" s="6">
        <v>0</v>
      </c>
      <c r="K267" s="6">
        <v>0</v>
      </c>
      <c r="L267" s="6">
        <v>1</v>
      </c>
      <c r="M267" s="6">
        <v>0</v>
      </c>
      <c r="N267" s="11"/>
    </row>
    <row r="268" spans="1:14" ht="14.25">
      <c r="A268" s="6">
        <v>263</v>
      </c>
      <c r="B268" s="7" t="s">
        <v>413</v>
      </c>
      <c r="C268" s="8">
        <v>2.1</v>
      </c>
      <c r="D268" s="8">
        <v>2.1</v>
      </c>
      <c r="E268" s="8">
        <v>202</v>
      </c>
      <c r="F268" s="6">
        <v>8</v>
      </c>
      <c r="G268" s="6">
        <v>8</v>
      </c>
      <c r="H268" s="9">
        <v>490.2</v>
      </c>
      <c r="I268" s="9">
        <v>490.2</v>
      </c>
      <c r="J268" s="6">
        <v>0</v>
      </c>
      <c r="K268" s="6">
        <v>0</v>
      </c>
      <c r="L268" s="6">
        <v>3</v>
      </c>
      <c r="M268" s="6">
        <v>5</v>
      </c>
      <c r="N268" s="11"/>
    </row>
    <row r="269" spans="1:14" ht="14.25">
      <c r="A269" s="6">
        <v>264</v>
      </c>
      <c r="B269" s="7" t="s">
        <v>414</v>
      </c>
      <c r="C269" s="8">
        <v>38</v>
      </c>
      <c r="D269" s="8">
        <v>38</v>
      </c>
      <c r="E269" s="8">
        <v>200</v>
      </c>
      <c r="F269" s="6">
        <v>5</v>
      </c>
      <c r="G269" s="6">
        <v>3</v>
      </c>
      <c r="H269" s="9">
        <v>256.8</v>
      </c>
      <c r="I269" s="9">
        <v>556.79999999999995</v>
      </c>
      <c r="J269" s="6">
        <v>1</v>
      </c>
      <c r="K269" s="6">
        <v>1</v>
      </c>
      <c r="L269" s="6">
        <v>1</v>
      </c>
      <c r="M269" s="6">
        <v>0</v>
      </c>
      <c r="N269" s="11" t="s">
        <v>415</v>
      </c>
    </row>
    <row r="270" spans="1:14" ht="14.25">
      <c r="A270" s="6">
        <v>265</v>
      </c>
      <c r="B270" s="7" t="s">
        <v>416</v>
      </c>
      <c r="C270" s="8">
        <v>31</v>
      </c>
      <c r="D270" s="8">
        <v>31</v>
      </c>
      <c r="E270" s="8">
        <v>200</v>
      </c>
      <c r="F270" s="6">
        <v>3</v>
      </c>
      <c r="G270" s="6">
        <v>2</v>
      </c>
      <c r="H270" s="9">
        <v>131</v>
      </c>
      <c r="I270" s="9">
        <v>331</v>
      </c>
      <c r="J270" s="6">
        <v>1</v>
      </c>
      <c r="K270" s="6">
        <v>1</v>
      </c>
      <c r="L270" s="6">
        <v>0</v>
      </c>
      <c r="M270" s="6">
        <v>0</v>
      </c>
      <c r="N270" s="11"/>
    </row>
    <row r="271" spans="1:14" ht="14.25">
      <c r="A271" s="6">
        <v>266</v>
      </c>
      <c r="B271" s="7" t="s">
        <v>417</v>
      </c>
      <c r="C271" s="8">
        <v>146</v>
      </c>
      <c r="D271" s="8">
        <v>146</v>
      </c>
      <c r="E271" s="8">
        <v>200</v>
      </c>
      <c r="F271" s="6">
        <v>3</v>
      </c>
      <c r="G271" s="6">
        <v>2</v>
      </c>
      <c r="H271" s="9">
        <v>346</v>
      </c>
      <c r="I271" s="9">
        <v>546</v>
      </c>
      <c r="J271" s="6">
        <v>2</v>
      </c>
      <c r="K271" s="6">
        <v>0</v>
      </c>
      <c r="L271" s="6">
        <v>0</v>
      </c>
      <c r="M271" s="6">
        <v>0</v>
      </c>
      <c r="N271" s="11"/>
    </row>
    <row r="272" spans="1:14" ht="14.25">
      <c r="A272" s="6">
        <v>267</v>
      </c>
      <c r="B272" s="7" t="s">
        <v>418</v>
      </c>
      <c r="C272" s="8">
        <v>51</v>
      </c>
      <c r="D272" s="8">
        <v>51</v>
      </c>
      <c r="E272" s="8">
        <v>197.2</v>
      </c>
      <c r="F272" s="6">
        <v>2</v>
      </c>
      <c r="G272" s="6">
        <v>2</v>
      </c>
      <c r="H272" s="9">
        <v>248.2</v>
      </c>
      <c r="I272" s="9">
        <v>248.2</v>
      </c>
      <c r="J272" s="6">
        <v>0</v>
      </c>
      <c r="K272" s="6">
        <v>1</v>
      </c>
      <c r="L272" s="6">
        <v>0</v>
      </c>
      <c r="M272" s="6">
        <v>1</v>
      </c>
      <c r="N272" s="11"/>
    </row>
    <row r="273" spans="1:14" ht="14.25">
      <c r="A273" s="6">
        <v>268</v>
      </c>
      <c r="B273" s="7" t="s">
        <v>419</v>
      </c>
      <c r="C273" s="8">
        <v>50.1</v>
      </c>
      <c r="D273" s="8">
        <v>50.1</v>
      </c>
      <c r="E273" s="8">
        <v>188.9</v>
      </c>
      <c r="F273" s="6">
        <v>3</v>
      </c>
      <c r="G273" s="6">
        <v>1</v>
      </c>
      <c r="H273" s="9">
        <v>188.9</v>
      </c>
      <c r="I273" s="9">
        <v>326</v>
      </c>
      <c r="J273" s="6">
        <v>1</v>
      </c>
      <c r="K273" s="6">
        <v>0</v>
      </c>
      <c r="L273" s="6">
        <v>0</v>
      </c>
      <c r="M273" s="6">
        <v>0</v>
      </c>
      <c r="N273" s="11"/>
    </row>
    <row r="274" spans="1:14" ht="14.25">
      <c r="A274" s="6">
        <v>269</v>
      </c>
      <c r="B274" s="7" t="s">
        <v>420</v>
      </c>
      <c r="C274" s="8">
        <v>54</v>
      </c>
      <c r="D274" s="8">
        <v>54</v>
      </c>
      <c r="E274" s="8">
        <v>188</v>
      </c>
      <c r="F274" s="6">
        <v>2</v>
      </c>
      <c r="G274" s="6">
        <v>1</v>
      </c>
      <c r="H274" s="9">
        <v>54</v>
      </c>
      <c r="I274" s="9">
        <v>242</v>
      </c>
      <c r="J274" s="6">
        <v>1</v>
      </c>
      <c r="K274" s="6">
        <v>0</v>
      </c>
      <c r="L274" s="6">
        <v>0</v>
      </c>
      <c r="M274" s="6">
        <v>0</v>
      </c>
      <c r="N274" s="11"/>
    </row>
    <row r="275" spans="1:14" ht="14.25">
      <c r="A275" s="6">
        <v>270</v>
      </c>
      <c r="B275" s="7" t="s">
        <v>421</v>
      </c>
      <c r="C275" s="8">
        <v>162.5</v>
      </c>
      <c r="D275" s="8">
        <v>162.5</v>
      </c>
      <c r="E275" s="8">
        <v>162.5</v>
      </c>
      <c r="F275" s="6">
        <v>1</v>
      </c>
      <c r="G275" s="6">
        <v>1</v>
      </c>
      <c r="H275" s="9">
        <v>162.5</v>
      </c>
      <c r="I275" s="9">
        <v>162.5</v>
      </c>
      <c r="J275" s="6">
        <v>0</v>
      </c>
      <c r="K275" s="6">
        <v>0</v>
      </c>
      <c r="L275" s="6">
        <v>0</v>
      </c>
      <c r="M275" s="6">
        <v>1</v>
      </c>
      <c r="N275" s="11"/>
    </row>
    <row r="276" spans="1:14" ht="14.25">
      <c r="A276" s="6">
        <v>271</v>
      </c>
      <c r="B276" s="7" t="s">
        <v>422</v>
      </c>
      <c r="C276" s="8">
        <v>160</v>
      </c>
      <c r="D276" s="8">
        <v>160</v>
      </c>
      <c r="E276" s="8">
        <v>160</v>
      </c>
      <c r="F276" s="6">
        <v>1</v>
      </c>
      <c r="G276" s="6">
        <v>1</v>
      </c>
      <c r="H276" s="9">
        <v>160</v>
      </c>
      <c r="I276" s="9">
        <v>160</v>
      </c>
      <c r="J276" s="6">
        <v>0</v>
      </c>
      <c r="K276" s="6">
        <v>0</v>
      </c>
      <c r="L276" s="6">
        <v>0</v>
      </c>
      <c r="M276" s="6">
        <v>1</v>
      </c>
      <c r="N276" s="11"/>
    </row>
    <row r="277" spans="1:14" ht="14.25">
      <c r="A277" s="6">
        <v>272</v>
      </c>
      <c r="B277" s="7" t="s">
        <v>423</v>
      </c>
      <c r="C277" s="8">
        <v>160</v>
      </c>
      <c r="D277" s="8">
        <v>160</v>
      </c>
      <c r="E277" s="8">
        <v>160</v>
      </c>
      <c r="F277" s="6">
        <v>1</v>
      </c>
      <c r="G277" s="6">
        <v>1</v>
      </c>
      <c r="H277" s="9">
        <v>160</v>
      </c>
      <c r="I277" s="9">
        <v>160</v>
      </c>
      <c r="J277" s="6">
        <v>0</v>
      </c>
      <c r="K277" s="6">
        <v>0</v>
      </c>
      <c r="L277" s="6">
        <v>0</v>
      </c>
      <c r="M277" s="6">
        <v>1</v>
      </c>
      <c r="N277" s="11"/>
    </row>
    <row r="278" spans="1:14" ht="14.25">
      <c r="A278" s="6">
        <v>273</v>
      </c>
      <c r="B278" s="7" t="s">
        <v>424</v>
      </c>
      <c r="C278" s="8">
        <v>151.5</v>
      </c>
      <c r="D278" s="8">
        <v>151.5</v>
      </c>
      <c r="E278" s="8">
        <v>151.5</v>
      </c>
      <c r="F278" s="6">
        <v>1</v>
      </c>
      <c r="G278" s="6">
        <v>1</v>
      </c>
      <c r="H278" s="9">
        <v>151.5</v>
      </c>
      <c r="I278" s="9">
        <v>151.5</v>
      </c>
      <c r="J278" s="6">
        <v>0</v>
      </c>
      <c r="K278" s="6">
        <v>0</v>
      </c>
      <c r="L278" s="6">
        <v>0</v>
      </c>
      <c r="M278" s="6">
        <v>1</v>
      </c>
      <c r="N278" s="11"/>
    </row>
    <row r="279" spans="1:14" ht="14.25">
      <c r="A279" s="6">
        <v>274</v>
      </c>
      <c r="B279" s="7" t="s">
        <v>425</v>
      </c>
      <c r="C279" s="8">
        <v>31</v>
      </c>
      <c r="D279" s="8">
        <v>31</v>
      </c>
      <c r="E279" s="8">
        <v>151</v>
      </c>
      <c r="F279" s="6">
        <v>2</v>
      </c>
      <c r="G279" s="6">
        <v>2</v>
      </c>
      <c r="H279" s="9">
        <v>182</v>
      </c>
      <c r="I279" s="9">
        <v>182</v>
      </c>
      <c r="J279" s="6">
        <v>2</v>
      </c>
      <c r="K279" s="6">
        <v>0</v>
      </c>
      <c r="L279" s="6">
        <v>0</v>
      </c>
      <c r="M279" s="6">
        <v>0</v>
      </c>
      <c r="N279" s="11"/>
    </row>
    <row r="280" spans="1:14" ht="14.25">
      <c r="A280" s="6">
        <v>275</v>
      </c>
      <c r="B280" s="7" t="s">
        <v>426</v>
      </c>
      <c r="C280" s="8">
        <v>22.2</v>
      </c>
      <c r="D280" s="8">
        <v>22.2</v>
      </c>
      <c r="E280" s="8">
        <v>150.4</v>
      </c>
      <c r="F280" s="6">
        <v>2</v>
      </c>
      <c r="G280" s="6">
        <v>1</v>
      </c>
      <c r="H280" s="9">
        <v>22.2</v>
      </c>
      <c r="I280" s="9">
        <v>172.6</v>
      </c>
      <c r="J280" s="6">
        <v>1</v>
      </c>
      <c r="K280" s="6">
        <v>0</v>
      </c>
      <c r="L280" s="6">
        <v>0</v>
      </c>
      <c r="M280" s="6">
        <v>0</v>
      </c>
      <c r="N280" s="11"/>
    </row>
    <row r="281" spans="1:14" ht="14.25">
      <c r="A281" s="6">
        <v>276</v>
      </c>
      <c r="B281" s="7" t="s">
        <v>427</v>
      </c>
      <c r="C281" s="8">
        <v>51</v>
      </c>
      <c r="D281" s="8">
        <v>51</v>
      </c>
      <c r="E281" s="8">
        <v>150</v>
      </c>
      <c r="F281" s="6">
        <v>3</v>
      </c>
      <c r="G281" s="6">
        <v>3</v>
      </c>
      <c r="H281" s="9">
        <v>324</v>
      </c>
      <c r="I281" s="9">
        <v>324</v>
      </c>
      <c r="J281" s="6">
        <v>1</v>
      </c>
      <c r="K281" s="6">
        <v>0</v>
      </c>
      <c r="L281" s="6">
        <v>1</v>
      </c>
      <c r="M281" s="6">
        <v>1</v>
      </c>
      <c r="N281" s="11"/>
    </row>
    <row r="282" spans="1:14" ht="14.25">
      <c r="A282" s="6">
        <v>277</v>
      </c>
      <c r="B282" s="7" t="s">
        <v>428</v>
      </c>
      <c r="C282" s="8">
        <v>20.6</v>
      </c>
      <c r="D282" s="8">
        <v>20.6</v>
      </c>
      <c r="E282" s="8">
        <v>149.5</v>
      </c>
      <c r="F282" s="6">
        <v>5</v>
      </c>
      <c r="G282" s="6">
        <v>3</v>
      </c>
      <c r="H282" s="9">
        <v>377</v>
      </c>
      <c r="I282" s="9">
        <v>451.1</v>
      </c>
      <c r="J282" s="6">
        <v>3</v>
      </c>
      <c r="K282" s="6">
        <v>0</v>
      </c>
      <c r="L282" s="6">
        <v>0</v>
      </c>
      <c r="M282" s="6">
        <v>0</v>
      </c>
      <c r="N282" s="11"/>
    </row>
    <row r="283" spans="1:14" ht="14.25">
      <c r="A283" s="6">
        <v>278</v>
      </c>
      <c r="B283" s="7" t="s">
        <v>429</v>
      </c>
      <c r="C283" s="8">
        <v>142.5</v>
      </c>
      <c r="D283" s="8">
        <v>142.5</v>
      </c>
      <c r="E283" s="8">
        <v>147</v>
      </c>
      <c r="F283" s="6">
        <v>2</v>
      </c>
      <c r="G283" s="6">
        <v>2</v>
      </c>
      <c r="H283" s="9">
        <v>289.5</v>
      </c>
      <c r="I283" s="9">
        <v>289.5</v>
      </c>
      <c r="J283" s="6">
        <v>0</v>
      </c>
      <c r="K283" s="6">
        <v>1</v>
      </c>
      <c r="L283" s="6">
        <v>0</v>
      </c>
      <c r="M283" s="6">
        <v>1</v>
      </c>
      <c r="N283" s="11"/>
    </row>
    <row r="284" spans="1:14" ht="25.5">
      <c r="A284" s="6">
        <v>279</v>
      </c>
      <c r="B284" s="7" t="s">
        <v>430</v>
      </c>
      <c r="C284" s="8">
        <v>15</v>
      </c>
      <c r="D284" s="8">
        <v>15</v>
      </c>
      <c r="E284" s="8">
        <v>145</v>
      </c>
      <c r="F284" s="6">
        <v>2</v>
      </c>
      <c r="G284" s="6">
        <v>2</v>
      </c>
      <c r="H284" s="9">
        <v>160</v>
      </c>
      <c r="I284" s="9">
        <v>160</v>
      </c>
      <c r="J284" s="6">
        <v>0</v>
      </c>
      <c r="K284" s="6">
        <v>1</v>
      </c>
      <c r="L284" s="6">
        <v>0</v>
      </c>
      <c r="M284" s="6">
        <v>1</v>
      </c>
      <c r="N284" s="10" t="s">
        <v>431</v>
      </c>
    </row>
    <row r="285" spans="1:14" ht="14.25">
      <c r="A285" s="6">
        <v>280</v>
      </c>
      <c r="B285" s="7" t="s">
        <v>432</v>
      </c>
      <c r="C285" s="8">
        <v>141.5</v>
      </c>
      <c r="D285" s="8">
        <v>141.5</v>
      </c>
      <c r="E285" s="8">
        <v>141.5</v>
      </c>
      <c r="F285" s="6">
        <v>1</v>
      </c>
      <c r="G285" s="6">
        <v>1</v>
      </c>
      <c r="H285" s="9">
        <v>141.5</v>
      </c>
      <c r="I285" s="9">
        <v>141.5</v>
      </c>
      <c r="J285" s="6">
        <v>1</v>
      </c>
      <c r="K285" s="6">
        <v>0</v>
      </c>
      <c r="L285" s="6">
        <v>0</v>
      </c>
      <c r="M285" s="6">
        <v>0</v>
      </c>
      <c r="N285" s="11"/>
    </row>
    <row r="286" spans="1:14" ht="14.25">
      <c r="A286" s="6">
        <v>281</v>
      </c>
      <c r="B286" s="7" t="s">
        <v>433</v>
      </c>
      <c r="C286" s="8">
        <v>77.099999999999994</v>
      </c>
      <c r="D286" s="8">
        <v>77.099999999999994</v>
      </c>
      <c r="E286" s="8">
        <v>141.4</v>
      </c>
      <c r="F286" s="6">
        <v>2</v>
      </c>
      <c r="G286" s="6">
        <v>1</v>
      </c>
      <c r="H286" s="9">
        <v>77.099999999999994</v>
      </c>
      <c r="I286" s="9">
        <v>218.5</v>
      </c>
      <c r="J286" s="6">
        <v>1</v>
      </c>
      <c r="K286" s="6">
        <v>0</v>
      </c>
      <c r="L286" s="6">
        <v>0</v>
      </c>
      <c r="M286" s="6">
        <v>0</v>
      </c>
      <c r="N286" s="11"/>
    </row>
    <row r="287" spans="1:14" ht="14.25">
      <c r="A287" s="6">
        <v>282</v>
      </c>
      <c r="B287" s="7" t="s">
        <v>434</v>
      </c>
      <c r="C287" s="8">
        <v>25.2</v>
      </c>
      <c r="D287" s="8">
        <v>25.2</v>
      </c>
      <c r="E287" s="8">
        <v>140</v>
      </c>
      <c r="F287" s="6">
        <v>5</v>
      </c>
      <c r="G287" s="6">
        <v>4</v>
      </c>
      <c r="H287" s="9">
        <v>346.8</v>
      </c>
      <c r="I287" s="9">
        <v>372</v>
      </c>
      <c r="J287" s="6">
        <v>2</v>
      </c>
      <c r="K287" s="6">
        <v>1</v>
      </c>
      <c r="L287" s="6">
        <v>1</v>
      </c>
      <c r="M287" s="6">
        <v>0</v>
      </c>
      <c r="N287" s="11"/>
    </row>
    <row r="288" spans="1:14" ht="14.25">
      <c r="A288" s="6">
        <v>283</v>
      </c>
      <c r="B288" s="7" t="s">
        <v>435</v>
      </c>
      <c r="C288" s="8">
        <v>55.6</v>
      </c>
      <c r="D288" s="8">
        <v>55.6</v>
      </c>
      <c r="E288" s="8">
        <v>138.5</v>
      </c>
      <c r="F288" s="6">
        <v>3</v>
      </c>
      <c r="G288" s="6">
        <v>3</v>
      </c>
      <c r="H288" s="9">
        <v>265.10000000000002</v>
      </c>
      <c r="I288" s="9">
        <v>265.10000000000002</v>
      </c>
      <c r="J288" s="6">
        <v>2</v>
      </c>
      <c r="K288" s="6">
        <v>0</v>
      </c>
      <c r="L288" s="6">
        <v>1</v>
      </c>
      <c r="M288" s="6">
        <v>0</v>
      </c>
      <c r="N288" s="11"/>
    </row>
    <row r="289" spans="1:14" ht="14.25">
      <c r="A289" s="6">
        <v>284</v>
      </c>
      <c r="B289" s="7" t="s">
        <v>436</v>
      </c>
      <c r="C289" s="8">
        <v>131.5</v>
      </c>
      <c r="D289" s="8">
        <v>131.5</v>
      </c>
      <c r="E289" s="8">
        <v>131.5</v>
      </c>
      <c r="F289" s="6">
        <v>1</v>
      </c>
      <c r="G289" s="6">
        <v>1</v>
      </c>
      <c r="H289" s="9">
        <v>131.5</v>
      </c>
      <c r="I289" s="9">
        <v>131.5</v>
      </c>
      <c r="J289" s="6">
        <v>0</v>
      </c>
      <c r="K289" s="6">
        <v>1</v>
      </c>
      <c r="L289" s="6">
        <v>0</v>
      </c>
      <c r="M289" s="6">
        <v>0</v>
      </c>
      <c r="N289" s="11"/>
    </row>
    <row r="290" spans="1:14" ht="14.25">
      <c r="A290" s="6">
        <v>285</v>
      </c>
      <c r="B290" s="7" t="s">
        <v>437</v>
      </c>
      <c r="C290" s="8">
        <v>130</v>
      </c>
      <c r="D290" s="8">
        <v>130</v>
      </c>
      <c r="E290" s="8">
        <v>130</v>
      </c>
      <c r="F290" s="6">
        <v>1</v>
      </c>
      <c r="G290" s="6">
        <v>1</v>
      </c>
      <c r="H290" s="9">
        <v>130</v>
      </c>
      <c r="I290" s="9">
        <v>130</v>
      </c>
      <c r="J290" s="6">
        <v>0</v>
      </c>
      <c r="K290" s="6">
        <v>1</v>
      </c>
      <c r="L290" s="6">
        <v>0</v>
      </c>
      <c r="M290" s="6">
        <v>0</v>
      </c>
      <c r="N290" s="11"/>
    </row>
    <row r="291" spans="1:14" ht="14.25">
      <c r="A291" s="6">
        <v>286</v>
      </c>
      <c r="B291" s="7" t="s">
        <v>438</v>
      </c>
      <c r="C291" s="8">
        <v>21</v>
      </c>
      <c r="D291" s="8">
        <v>21</v>
      </c>
      <c r="E291" s="8">
        <v>129.5</v>
      </c>
      <c r="F291" s="6">
        <v>4</v>
      </c>
      <c r="G291" s="6">
        <v>4</v>
      </c>
      <c r="H291" s="9">
        <v>253.1</v>
      </c>
      <c r="I291" s="9">
        <v>253.1</v>
      </c>
      <c r="J291" s="6">
        <v>0</v>
      </c>
      <c r="K291" s="6">
        <v>0</v>
      </c>
      <c r="L291" s="6">
        <v>0</v>
      </c>
      <c r="M291" s="6">
        <v>4</v>
      </c>
      <c r="N291" s="11"/>
    </row>
    <row r="292" spans="1:14" ht="14.25">
      <c r="A292" s="6">
        <v>287</v>
      </c>
      <c r="B292" s="7" t="s">
        <v>439</v>
      </c>
      <c r="C292" s="8">
        <v>127.5</v>
      </c>
      <c r="D292" s="8">
        <v>127.5</v>
      </c>
      <c r="E292" s="8">
        <v>127.5</v>
      </c>
      <c r="F292" s="6">
        <v>1</v>
      </c>
      <c r="G292" s="6">
        <v>1</v>
      </c>
      <c r="H292" s="9">
        <v>127.5</v>
      </c>
      <c r="I292" s="9">
        <v>127.5</v>
      </c>
      <c r="J292" s="6">
        <v>1</v>
      </c>
      <c r="K292" s="6">
        <v>0</v>
      </c>
      <c r="L292" s="6">
        <v>0</v>
      </c>
      <c r="M292" s="6">
        <v>0</v>
      </c>
      <c r="N292" s="11"/>
    </row>
    <row r="293" spans="1:14" ht="14.25">
      <c r="A293" s="6">
        <v>288</v>
      </c>
      <c r="B293" s="7" t="s">
        <v>440</v>
      </c>
      <c r="C293" s="8">
        <v>125.5</v>
      </c>
      <c r="D293" s="8">
        <v>125.5</v>
      </c>
      <c r="E293" s="8">
        <v>125.5</v>
      </c>
      <c r="F293" s="6">
        <v>1</v>
      </c>
      <c r="G293" s="6">
        <v>1</v>
      </c>
      <c r="H293" s="9">
        <v>125.5</v>
      </c>
      <c r="I293" s="9">
        <v>125.5</v>
      </c>
      <c r="J293" s="6">
        <v>0</v>
      </c>
      <c r="K293" s="6">
        <v>1</v>
      </c>
      <c r="L293" s="6">
        <v>0</v>
      </c>
      <c r="M293" s="6">
        <v>0</v>
      </c>
      <c r="N293" s="11"/>
    </row>
    <row r="294" spans="1:14" ht="14.25">
      <c r="A294" s="6">
        <v>289</v>
      </c>
      <c r="B294" s="7" t="s">
        <v>441</v>
      </c>
      <c r="C294" s="8">
        <v>125.5</v>
      </c>
      <c r="D294" s="8">
        <v>125.5</v>
      </c>
      <c r="E294" s="8">
        <v>125.5</v>
      </c>
      <c r="F294" s="6">
        <v>1</v>
      </c>
      <c r="G294" s="6">
        <v>1</v>
      </c>
      <c r="H294" s="9">
        <v>125.5</v>
      </c>
      <c r="I294" s="9">
        <v>125.5</v>
      </c>
      <c r="J294" s="6">
        <v>0</v>
      </c>
      <c r="K294" s="6">
        <v>1</v>
      </c>
      <c r="L294" s="6">
        <v>0</v>
      </c>
      <c r="M294" s="6">
        <v>0</v>
      </c>
      <c r="N294" s="11"/>
    </row>
    <row r="295" spans="1:14" ht="14.25">
      <c r="A295" s="6">
        <v>290</v>
      </c>
      <c r="B295" s="7" t="s">
        <v>442</v>
      </c>
      <c r="C295" s="8">
        <v>120</v>
      </c>
      <c r="D295" s="8">
        <v>120</v>
      </c>
      <c r="E295" s="8">
        <v>120</v>
      </c>
      <c r="F295" s="6">
        <v>1</v>
      </c>
      <c r="G295" s="6">
        <v>1</v>
      </c>
      <c r="H295" s="9">
        <v>120</v>
      </c>
      <c r="I295" s="9">
        <v>120</v>
      </c>
      <c r="J295" s="6">
        <v>1</v>
      </c>
      <c r="K295" s="6">
        <v>0</v>
      </c>
      <c r="L295" s="6">
        <v>0</v>
      </c>
      <c r="M295" s="6">
        <v>0</v>
      </c>
      <c r="N295" s="11"/>
    </row>
    <row r="296" spans="1:14" ht="14.25">
      <c r="A296" s="6">
        <v>291</v>
      </c>
      <c r="B296" s="7" t="s">
        <v>443</v>
      </c>
      <c r="C296" s="8">
        <v>118.5</v>
      </c>
      <c r="D296" s="8">
        <v>118.5</v>
      </c>
      <c r="E296" s="8">
        <v>118.5</v>
      </c>
      <c r="F296" s="6">
        <v>1</v>
      </c>
      <c r="G296" s="6">
        <v>1</v>
      </c>
      <c r="H296" s="9">
        <v>118.5</v>
      </c>
      <c r="I296" s="9">
        <v>118.5</v>
      </c>
      <c r="J296" s="6">
        <v>0</v>
      </c>
      <c r="K296" s="6">
        <v>0</v>
      </c>
      <c r="L296" s="6">
        <v>1</v>
      </c>
      <c r="M296" s="6">
        <v>0</v>
      </c>
      <c r="N296" s="11"/>
    </row>
    <row r="297" spans="1:14" ht="14.25">
      <c r="A297" s="6">
        <v>292</v>
      </c>
      <c r="B297" s="7" t="s">
        <v>444</v>
      </c>
      <c r="C297" s="8">
        <v>118.5</v>
      </c>
      <c r="D297" s="8">
        <v>118.5</v>
      </c>
      <c r="E297" s="8">
        <v>118.5</v>
      </c>
      <c r="F297" s="6">
        <v>1</v>
      </c>
      <c r="G297" s="6">
        <v>1</v>
      </c>
      <c r="H297" s="9">
        <v>118.5</v>
      </c>
      <c r="I297" s="9">
        <v>118.5</v>
      </c>
      <c r="J297" s="6">
        <v>0</v>
      </c>
      <c r="K297" s="6">
        <v>0</v>
      </c>
      <c r="L297" s="6">
        <v>1</v>
      </c>
      <c r="M297" s="6">
        <v>0</v>
      </c>
      <c r="N297" s="11"/>
    </row>
    <row r="298" spans="1:14" ht="14.25">
      <c r="A298" s="6">
        <v>293</v>
      </c>
      <c r="B298" s="7" t="s">
        <v>445</v>
      </c>
      <c r="C298" s="8">
        <v>113</v>
      </c>
      <c r="D298" s="8">
        <v>113</v>
      </c>
      <c r="E298" s="8">
        <v>113</v>
      </c>
      <c r="F298" s="6">
        <v>1</v>
      </c>
      <c r="G298" s="6">
        <v>1</v>
      </c>
      <c r="H298" s="9">
        <v>113</v>
      </c>
      <c r="I298" s="9">
        <v>113</v>
      </c>
      <c r="J298" s="6">
        <v>0</v>
      </c>
      <c r="K298" s="6">
        <v>0</v>
      </c>
      <c r="L298" s="6">
        <v>0</v>
      </c>
      <c r="M298" s="6">
        <v>1</v>
      </c>
      <c r="N298" s="11"/>
    </row>
    <row r="299" spans="1:14" ht="14.25">
      <c r="A299" s="6">
        <v>294</v>
      </c>
      <c r="B299" s="7" t="s">
        <v>446</v>
      </c>
      <c r="C299" s="8">
        <v>20</v>
      </c>
      <c r="D299" s="8">
        <v>20</v>
      </c>
      <c r="E299" s="8">
        <v>110.1</v>
      </c>
      <c r="F299" s="6">
        <v>3</v>
      </c>
      <c r="G299" s="6">
        <v>3</v>
      </c>
      <c r="H299" s="9">
        <v>161.1</v>
      </c>
      <c r="I299" s="9">
        <v>161.1</v>
      </c>
      <c r="J299" s="6">
        <v>0</v>
      </c>
      <c r="K299" s="6">
        <v>1</v>
      </c>
      <c r="L299" s="6">
        <v>1</v>
      </c>
      <c r="M299" s="6">
        <v>1</v>
      </c>
      <c r="N299" s="11"/>
    </row>
    <row r="300" spans="1:14" ht="14.25">
      <c r="A300" s="6">
        <v>295</v>
      </c>
      <c r="B300" s="7" t="s">
        <v>447</v>
      </c>
      <c r="C300" s="8">
        <v>77.099999999999994</v>
      </c>
      <c r="D300" s="8">
        <v>77.099999999999994</v>
      </c>
      <c r="E300" s="8">
        <v>110</v>
      </c>
      <c r="F300" s="6">
        <v>2</v>
      </c>
      <c r="G300" s="6">
        <v>2</v>
      </c>
      <c r="H300" s="9">
        <v>187.1</v>
      </c>
      <c r="I300" s="9">
        <v>187.1</v>
      </c>
      <c r="J300" s="6">
        <v>0</v>
      </c>
      <c r="K300" s="6">
        <v>1</v>
      </c>
      <c r="L300" s="6">
        <v>1</v>
      </c>
      <c r="M300" s="6">
        <v>0</v>
      </c>
      <c r="N300" s="11"/>
    </row>
    <row r="301" spans="1:14" ht="14.25">
      <c r="A301" s="6">
        <v>296</v>
      </c>
      <c r="B301" s="7" t="s">
        <v>448</v>
      </c>
      <c r="C301" s="8">
        <v>109.5</v>
      </c>
      <c r="D301" s="8">
        <v>109.5</v>
      </c>
      <c r="E301" s="8">
        <v>109.5</v>
      </c>
      <c r="F301" s="6">
        <v>1</v>
      </c>
      <c r="G301" s="6">
        <v>1</v>
      </c>
      <c r="H301" s="9">
        <v>109.5</v>
      </c>
      <c r="I301" s="9">
        <v>109.5</v>
      </c>
      <c r="J301" s="6">
        <v>1</v>
      </c>
      <c r="K301" s="6">
        <v>0</v>
      </c>
      <c r="L301" s="6">
        <v>0</v>
      </c>
      <c r="M301" s="6">
        <v>0</v>
      </c>
      <c r="N301" s="11"/>
    </row>
    <row r="302" spans="1:14" ht="14.25">
      <c r="A302" s="6">
        <v>297</v>
      </c>
      <c r="B302" s="7" t="s">
        <v>449</v>
      </c>
      <c r="C302" s="8">
        <v>27.6</v>
      </c>
      <c r="D302" s="8">
        <v>27.6</v>
      </c>
      <c r="E302" s="8">
        <v>108.5</v>
      </c>
      <c r="F302" s="6">
        <v>2</v>
      </c>
      <c r="G302" s="6">
        <v>2</v>
      </c>
      <c r="H302" s="9">
        <v>136.1</v>
      </c>
      <c r="I302" s="9">
        <v>136.1</v>
      </c>
      <c r="J302" s="6">
        <v>2</v>
      </c>
      <c r="K302" s="6">
        <v>0</v>
      </c>
      <c r="L302" s="6">
        <v>0</v>
      </c>
      <c r="M302" s="6">
        <v>0</v>
      </c>
      <c r="N302" s="11"/>
    </row>
    <row r="303" spans="1:14" ht="14.25">
      <c r="A303" s="6">
        <v>298</v>
      </c>
      <c r="B303" s="7" t="s">
        <v>450</v>
      </c>
      <c r="C303" s="8">
        <v>27.6</v>
      </c>
      <c r="D303" s="8">
        <v>27.6</v>
      </c>
      <c r="E303" s="8">
        <v>108.5</v>
      </c>
      <c r="F303" s="6">
        <v>2</v>
      </c>
      <c r="G303" s="6">
        <v>2</v>
      </c>
      <c r="H303" s="9">
        <v>136.1</v>
      </c>
      <c r="I303" s="9">
        <v>136.1</v>
      </c>
      <c r="J303" s="6">
        <v>2</v>
      </c>
      <c r="K303" s="6">
        <v>0</v>
      </c>
      <c r="L303" s="6">
        <v>0</v>
      </c>
      <c r="M303" s="6">
        <v>0</v>
      </c>
      <c r="N303" s="11"/>
    </row>
    <row r="304" spans="1:14" ht="14.25">
      <c r="A304" s="6">
        <v>299</v>
      </c>
      <c r="B304" s="7" t="s">
        <v>451</v>
      </c>
      <c r="C304" s="8">
        <v>101</v>
      </c>
      <c r="D304" s="8">
        <v>101</v>
      </c>
      <c r="E304" s="8">
        <v>108.5</v>
      </c>
      <c r="F304" s="6">
        <v>2</v>
      </c>
      <c r="G304" s="6">
        <v>2</v>
      </c>
      <c r="H304" s="9">
        <v>209.5</v>
      </c>
      <c r="I304" s="9">
        <v>209.5</v>
      </c>
      <c r="J304" s="6">
        <v>1</v>
      </c>
      <c r="K304" s="6">
        <v>1</v>
      </c>
      <c r="L304" s="6">
        <v>0</v>
      </c>
      <c r="M304" s="6">
        <v>0</v>
      </c>
      <c r="N304" s="11"/>
    </row>
    <row r="305" spans="1:14" ht="14.25">
      <c r="A305" s="6">
        <v>300</v>
      </c>
      <c r="B305" s="7" t="s">
        <v>452</v>
      </c>
      <c r="C305" s="8">
        <v>108.1</v>
      </c>
      <c r="D305" s="8">
        <v>108.1</v>
      </c>
      <c r="E305" s="8">
        <v>108.1</v>
      </c>
      <c r="F305" s="6">
        <v>1</v>
      </c>
      <c r="G305" s="6">
        <v>1</v>
      </c>
      <c r="H305" s="9">
        <v>108.1</v>
      </c>
      <c r="I305" s="9">
        <v>108.1</v>
      </c>
      <c r="J305" s="6">
        <v>0</v>
      </c>
      <c r="K305" s="6">
        <v>0</v>
      </c>
      <c r="L305" s="6">
        <v>1</v>
      </c>
      <c r="M305" s="6">
        <v>0</v>
      </c>
      <c r="N305" s="11"/>
    </row>
    <row r="306" spans="1:14" ht="14.25">
      <c r="A306" s="6">
        <v>301</v>
      </c>
      <c r="B306" s="7" t="s">
        <v>453</v>
      </c>
      <c r="C306" s="8">
        <v>106.5</v>
      </c>
      <c r="D306" s="8">
        <v>106.5</v>
      </c>
      <c r="E306" s="8">
        <v>106.5</v>
      </c>
      <c r="F306" s="6">
        <v>1</v>
      </c>
      <c r="G306" s="6">
        <v>1</v>
      </c>
      <c r="H306" s="9">
        <v>106.5</v>
      </c>
      <c r="I306" s="9">
        <v>106.5</v>
      </c>
      <c r="J306" s="6">
        <v>0</v>
      </c>
      <c r="K306" s="6">
        <v>1</v>
      </c>
      <c r="L306" s="6">
        <v>0</v>
      </c>
      <c r="M306" s="6">
        <v>0</v>
      </c>
      <c r="N306" s="11"/>
    </row>
    <row r="307" spans="1:14" ht="14.25">
      <c r="A307" s="6">
        <v>302</v>
      </c>
      <c r="B307" s="7" t="s">
        <v>454</v>
      </c>
      <c r="C307" s="8">
        <v>100</v>
      </c>
      <c r="D307" s="8">
        <v>100</v>
      </c>
      <c r="E307" s="8">
        <v>106.5</v>
      </c>
      <c r="F307" s="6">
        <v>2</v>
      </c>
      <c r="G307" s="6">
        <v>1</v>
      </c>
      <c r="H307" s="9">
        <v>106.5</v>
      </c>
      <c r="I307" s="9">
        <v>206.5</v>
      </c>
      <c r="J307" s="6">
        <v>0</v>
      </c>
      <c r="K307" s="6">
        <v>1</v>
      </c>
      <c r="L307" s="6">
        <v>0</v>
      </c>
      <c r="M307" s="6">
        <v>0</v>
      </c>
      <c r="N307" s="11"/>
    </row>
    <row r="308" spans="1:14" ht="14.25">
      <c r="A308" s="6">
        <v>303</v>
      </c>
      <c r="B308" s="7" t="s">
        <v>455</v>
      </c>
      <c r="C308" s="8">
        <v>17</v>
      </c>
      <c r="D308" s="8">
        <v>17</v>
      </c>
      <c r="E308" s="8">
        <v>106.5</v>
      </c>
      <c r="F308" s="6">
        <v>6</v>
      </c>
      <c r="G308" s="6">
        <v>1</v>
      </c>
      <c r="H308" s="9">
        <v>33.799999999999997</v>
      </c>
      <c r="I308" s="9">
        <v>252.1</v>
      </c>
      <c r="J308" s="6">
        <v>1</v>
      </c>
      <c r="K308" s="6">
        <v>0</v>
      </c>
      <c r="L308" s="6">
        <v>0</v>
      </c>
      <c r="M308" s="6">
        <v>0</v>
      </c>
      <c r="N308" s="11"/>
    </row>
    <row r="309" spans="1:14" ht="14.25">
      <c r="A309" s="6">
        <v>304</v>
      </c>
      <c r="B309" s="7" t="s">
        <v>456</v>
      </c>
      <c r="C309" s="8">
        <v>105</v>
      </c>
      <c r="D309" s="8">
        <v>105</v>
      </c>
      <c r="E309" s="8">
        <v>105.5</v>
      </c>
      <c r="F309" s="6">
        <v>2</v>
      </c>
      <c r="G309" s="6">
        <v>1</v>
      </c>
      <c r="H309" s="9">
        <v>105</v>
      </c>
      <c r="I309" s="9">
        <v>210.5</v>
      </c>
      <c r="J309" s="6">
        <v>0</v>
      </c>
      <c r="K309" s="6">
        <v>1</v>
      </c>
      <c r="L309" s="6">
        <v>0</v>
      </c>
      <c r="M309" s="6">
        <v>0</v>
      </c>
      <c r="N309" s="11"/>
    </row>
    <row r="310" spans="1:14" ht="14.25">
      <c r="A310" s="6">
        <v>305</v>
      </c>
      <c r="B310" s="7" t="s">
        <v>457</v>
      </c>
      <c r="C310" s="8">
        <v>31.5</v>
      </c>
      <c r="D310" s="8">
        <v>31.5</v>
      </c>
      <c r="E310" s="8">
        <v>105</v>
      </c>
      <c r="F310" s="6">
        <v>4</v>
      </c>
      <c r="G310" s="6">
        <v>3</v>
      </c>
      <c r="H310" s="9">
        <v>188.5</v>
      </c>
      <c r="I310" s="9">
        <v>243.3</v>
      </c>
      <c r="J310" s="6">
        <v>1</v>
      </c>
      <c r="K310" s="6">
        <v>2</v>
      </c>
      <c r="L310" s="6">
        <v>0</v>
      </c>
      <c r="M310" s="6">
        <v>0</v>
      </c>
      <c r="N310" s="11"/>
    </row>
    <row r="311" spans="1:14" ht="14.25">
      <c r="A311" s="6">
        <v>306</v>
      </c>
      <c r="B311" s="7" t="s">
        <v>458</v>
      </c>
      <c r="C311" s="8">
        <v>102.5</v>
      </c>
      <c r="D311" s="8">
        <v>102.5</v>
      </c>
      <c r="E311" s="8">
        <v>102.5</v>
      </c>
      <c r="F311" s="6">
        <v>1</v>
      </c>
      <c r="G311" s="6">
        <v>1</v>
      </c>
      <c r="H311" s="9">
        <v>102.5</v>
      </c>
      <c r="I311" s="9">
        <v>102.5</v>
      </c>
      <c r="J311" s="6">
        <v>0</v>
      </c>
      <c r="K311" s="6">
        <v>1</v>
      </c>
      <c r="L311" s="6">
        <v>0</v>
      </c>
      <c r="M311" s="6">
        <v>0</v>
      </c>
      <c r="N311" s="11"/>
    </row>
    <row r="312" spans="1:14" ht="14.25">
      <c r="A312" s="6">
        <v>307</v>
      </c>
      <c r="B312" s="7" t="s">
        <v>459</v>
      </c>
      <c r="C312" s="8">
        <v>102.5</v>
      </c>
      <c r="D312" s="8">
        <v>102.5</v>
      </c>
      <c r="E312" s="8">
        <v>102.5</v>
      </c>
      <c r="F312" s="6">
        <v>1</v>
      </c>
      <c r="G312" s="6">
        <v>1</v>
      </c>
      <c r="H312" s="9">
        <v>102.5</v>
      </c>
      <c r="I312" s="9">
        <v>102.5</v>
      </c>
      <c r="J312" s="6">
        <v>0</v>
      </c>
      <c r="K312" s="6">
        <v>1</v>
      </c>
      <c r="L312" s="6">
        <v>0</v>
      </c>
      <c r="M312" s="6">
        <v>0</v>
      </c>
      <c r="N312" s="11"/>
    </row>
    <row r="313" spans="1:14" ht="14.25">
      <c r="A313" s="6">
        <v>308</v>
      </c>
      <c r="B313" s="7" t="s">
        <v>460</v>
      </c>
      <c r="C313" s="8">
        <v>101.5</v>
      </c>
      <c r="D313" s="8">
        <v>101.5</v>
      </c>
      <c r="E313" s="8">
        <v>101.5</v>
      </c>
      <c r="F313" s="6">
        <v>1</v>
      </c>
      <c r="G313" s="6">
        <v>1</v>
      </c>
      <c r="H313" s="9">
        <v>101.5</v>
      </c>
      <c r="I313" s="9">
        <v>101.5</v>
      </c>
      <c r="J313" s="6">
        <v>0</v>
      </c>
      <c r="K313" s="6">
        <v>0</v>
      </c>
      <c r="L313" s="6">
        <v>1</v>
      </c>
      <c r="M313" s="6">
        <v>0</v>
      </c>
      <c r="N313" s="11"/>
    </row>
    <row r="314" spans="1:14" ht="14.25">
      <c r="A314" s="6">
        <v>309</v>
      </c>
      <c r="B314" s="7" t="s">
        <v>461</v>
      </c>
      <c r="C314" s="8">
        <v>16.100000000000001</v>
      </c>
      <c r="D314" s="8">
        <v>16.100000000000001</v>
      </c>
      <c r="E314" s="8">
        <v>101.5</v>
      </c>
      <c r="F314" s="6">
        <v>3</v>
      </c>
      <c r="G314" s="6">
        <v>3</v>
      </c>
      <c r="H314" s="9">
        <v>142.69999999999999</v>
      </c>
      <c r="I314" s="9">
        <v>142.69999999999999</v>
      </c>
      <c r="J314" s="6">
        <v>2</v>
      </c>
      <c r="K314" s="6">
        <v>1</v>
      </c>
      <c r="L314" s="6">
        <v>0</v>
      </c>
      <c r="M314" s="6">
        <v>0</v>
      </c>
      <c r="N314" s="11"/>
    </row>
    <row r="315" spans="1:14" ht="14.25">
      <c r="A315" s="6">
        <v>310</v>
      </c>
      <c r="B315" s="7" t="s">
        <v>462</v>
      </c>
      <c r="C315" s="8">
        <v>57.5</v>
      </c>
      <c r="D315" s="8">
        <v>57.5</v>
      </c>
      <c r="E315" s="8">
        <v>101.5</v>
      </c>
      <c r="F315" s="6">
        <v>3</v>
      </c>
      <c r="G315" s="6">
        <v>2</v>
      </c>
      <c r="H315" s="9">
        <v>159</v>
      </c>
      <c r="I315" s="9">
        <v>229.1</v>
      </c>
      <c r="J315" s="6">
        <v>1</v>
      </c>
      <c r="K315" s="6">
        <v>0</v>
      </c>
      <c r="L315" s="6">
        <v>0</v>
      </c>
      <c r="M315" s="6">
        <v>1</v>
      </c>
      <c r="N315" s="11"/>
    </row>
    <row r="316" spans="1:14" ht="14.25">
      <c r="A316" s="6">
        <v>311</v>
      </c>
      <c r="B316" s="7" t="s">
        <v>463</v>
      </c>
      <c r="C316" s="8">
        <v>101</v>
      </c>
      <c r="D316" s="8">
        <v>101</v>
      </c>
      <c r="E316" s="8">
        <v>101</v>
      </c>
      <c r="F316" s="6">
        <v>1</v>
      </c>
      <c r="G316" s="6">
        <v>1</v>
      </c>
      <c r="H316" s="9">
        <v>101</v>
      </c>
      <c r="I316" s="9">
        <v>101</v>
      </c>
      <c r="J316" s="6">
        <v>0</v>
      </c>
      <c r="K316" s="6">
        <v>0</v>
      </c>
      <c r="L316" s="6">
        <v>0</v>
      </c>
      <c r="M316" s="6">
        <v>1</v>
      </c>
      <c r="N316" s="11"/>
    </row>
    <row r="317" spans="1:14" ht="14.25">
      <c r="A317" s="6">
        <v>312</v>
      </c>
      <c r="B317" s="7" t="s">
        <v>464</v>
      </c>
      <c r="C317" s="8">
        <v>101</v>
      </c>
      <c r="D317" s="8">
        <v>101</v>
      </c>
      <c r="E317" s="8">
        <v>101</v>
      </c>
      <c r="F317" s="6">
        <v>1</v>
      </c>
      <c r="G317" s="6">
        <v>1</v>
      </c>
      <c r="H317" s="9">
        <v>101</v>
      </c>
      <c r="I317" s="9">
        <v>101</v>
      </c>
      <c r="J317" s="6">
        <v>0</v>
      </c>
      <c r="K317" s="6">
        <v>0</v>
      </c>
      <c r="L317" s="6">
        <v>0</v>
      </c>
      <c r="M317" s="6">
        <v>1</v>
      </c>
      <c r="N317" s="11"/>
    </row>
    <row r="318" spans="1:14" ht="14.25">
      <c r="A318" s="6">
        <v>313</v>
      </c>
      <c r="B318" s="7" t="s">
        <v>465</v>
      </c>
      <c r="C318" s="8">
        <v>101</v>
      </c>
      <c r="D318" s="8">
        <v>101</v>
      </c>
      <c r="E318" s="8">
        <v>101</v>
      </c>
      <c r="F318" s="6">
        <v>1</v>
      </c>
      <c r="G318" s="6">
        <v>1</v>
      </c>
      <c r="H318" s="9">
        <v>101</v>
      </c>
      <c r="I318" s="9">
        <v>101</v>
      </c>
      <c r="J318" s="6">
        <v>0</v>
      </c>
      <c r="K318" s="6">
        <v>0</v>
      </c>
      <c r="L318" s="6">
        <v>0</v>
      </c>
      <c r="M318" s="6">
        <v>1</v>
      </c>
      <c r="N318" s="11"/>
    </row>
    <row r="319" spans="1:14" ht="14.25">
      <c r="A319" s="6">
        <v>314</v>
      </c>
      <c r="B319" s="7" t="s">
        <v>466</v>
      </c>
      <c r="C319" s="8">
        <v>101</v>
      </c>
      <c r="D319" s="8">
        <v>101</v>
      </c>
      <c r="E319" s="8">
        <v>101</v>
      </c>
      <c r="F319" s="6">
        <v>1</v>
      </c>
      <c r="G319" s="6">
        <v>1</v>
      </c>
      <c r="H319" s="9">
        <v>101</v>
      </c>
      <c r="I319" s="9">
        <v>101</v>
      </c>
      <c r="J319" s="6">
        <v>1</v>
      </c>
      <c r="K319" s="6">
        <v>0</v>
      </c>
      <c r="L319" s="6">
        <v>0</v>
      </c>
      <c r="M319" s="6">
        <v>0</v>
      </c>
      <c r="N319" s="11"/>
    </row>
    <row r="320" spans="1:14" ht="14.25">
      <c r="A320" s="6">
        <v>315</v>
      </c>
      <c r="B320" s="7" t="s">
        <v>467</v>
      </c>
      <c r="C320" s="8">
        <v>100.1</v>
      </c>
      <c r="D320" s="8">
        <v>100.1</v>
      </c>
      <c r="E320" s="8">
        <v>100.1</v>
      </c>
      <c r="F320" s="6">
        <v>1</v>
      </c>
      <c r="G320" s="6">
        <v>1</v>
      </c>
      <c r="H320" s="9">
        <v>100.1</v>
      </c>
      <c r="I320" s="9">
        <v>100.1</v>
      </c>
      <c r="J320" s="6">
        <v>1</v>
      </c>
      <c r="K320" s="6">
        <v>0</v>
      </c>
      <c r="L320" s="6">
        <v>0</v>
      </c>
      <c r="M320" s="6">
        <v>0</v>
      </c>
      <c r="N320" s="11"/>
    </row>
    <row r="321" spans="1:14" ht="14.25">
      <c r="A321" s="6">
        <v>316</v>
      </c>
      <c r="B321" s="7" t="s">
        <v>468</v>
      </c>
      <c r="C321" s="8">
        <v>100</v>
      </c>
      <c r="D321" s="8">
        <v>100</v>
      </c>
      <c r="E321" s="8">
        <v>100</v>
      </c>
      <c r="F321" s="6">
        <v>1</v>
      </c>
      <c r="G321" s="6">
        <v>1</v>
      </c>
      <c r="H321" s="9">
        <v>100</v>
      </c>
      <c r="I321" s="9">
        <v>100</v>
      </c>
      <c r="J321" s="6">
        <v>0</v>
      </c>
      <c r="K321" s="6">
        <v>0</v>
      </c>
      <c r="L321" s="6">
        <v>0</v>
      </c>
      <c r="M321" s="6">
        <v>1</v>
      </c>
      <c r="N321" s="11"/>
    </row>
    <row r="322" spans="1:14" ht="14.25">
      <c r="A322" s="6">
        <v>317</v>
      </c>
      <c r="B322" s="7" t="s">
        <v>469</v>
      </c>
      <c r="C322" s="8">
        <v>10.5</v>
      </c>
      <c r="D322" s="8">
        <v>10.5</v>
      </c>
      <c r="E322" s="8">
        <v>100</v>
      </c>
      <c r="F322" s="6">
        <v>3</v>
      </c>
      <c r="G322" s="6">
        <v>1</v>
      </c>
      <c r="H322" s="9">
        <v>100</v>
      </c>
      <c r="I322" s="9">
        <v>168</v>
      </c>
      <c r="J322" s="6">
        <v>1</v>
      </c>
      <c r="K322" s="6">
        <v>0</v>
      </c>
      <c r="L322" s="6">
        <v>0</v>
      </c>
      <c r="M322" s="6">
        <v>0</v>
      </c>
      <c r="N322" s="11"/>
    </row>
    <row r="323" spans="1:14" ht="14.25">
      <c r="A323" s="6">
        <v>318</v>
      </c>
      <c r="B323" s="7" t="s">
        <v>470</v>
      </c>
      <c r="C323" s="8">
        <v>98</v>
      </c>
      <c r="D323" s="8">
        <v>98</v>
      </c>
      <c r="E323" s="8">
        <v>98</v>
      </c>
      <c r="F323" s="6">
        <v>1</v>
      </c>
      <c r="G323" s="6">
        <v>1</v>
      </c>
      <c r="H323" s="9">
        <v>98</v>
      </c>
      <c r="I323" s="9">
        <v>98</v>
      </c>
      <c r="J323" s="6">
        <v>1</v>
      </c>
      <c r="K323" s="6">
        <v>0</v>
      </c>
      <c r="L323" s="6">
        <v>0</v>
      </c>
      <c r="M323" s="6">
        <v>0</v>
      </c>
      <c r="N323" s="11"/>
    </row>
    <row r="324" spans="1:14" ht="14.25">
      <c r="A324" s="6">
        <v>319</v>
      </c>
      <c r="B324" s="7" t="s">
        <v>471</v>
      </c>
      <c r="C324" s="8">
        <v>50.5</v>
      </c>
      <c r="D324" s="8">
        <v>50.5</v>
      </c>
      <c r="E324" s="8">
        <v>96</v>
      </c>
      <c r="F324" s="6">
        <v>2</v>
      </c>
      <c r="G324" s="6">
        <v>2</v>
      </c>
      <c r="H324" s="9">
        <v>146.5</v>
      </c>
      <c r="I324" s="9">
        <v>146.5</v>
      </c>
      <c r="J324" s="6">
        <v>0</v>
      </c>
      <c r="K324" s="6">
        <v>0</v>
      </c>
      <c r="L324" s="6">
        <v>0</v>
      </c>
      <c r="M324" s="6">
        <v>2</v>
      </c>
      <c r="N324" s="11"/>
    </row>
    <row r="325" spans="1:14" ht="14.25">
      <c r="A325" s="6">
        <v>320</v>
      </c>
      <c r="B325" s="7" t="s">
        <v>472</v>
      </c>
      <c r="C325" s="8">
        <v>94</v>
      </c>
      <c r="D325" s="8">
        <v>94</v>
      </c>
      <c r="E325" s="8">
        <v>94</v>
      </c>
      <c r="F325" s="6">
        <v>1</v>
      </c>
      <c r="G325" s="6">
        <v>1</v>
      </c>
      <c r="H325" s="9">
        <v>94</v>
      </c>
      <c r="I325" s="9">
        <v>94</v>
      </c>
      <c r="J325" s="6">
        <v>0</v>
      </c>
      <c r="K325" s="6">
        <v>0</v>
      </c>
      <c r="L325" s="6">
        <v>0</v>
      </c>
      <c r="M325" s="6">
        <v>1</v>
      </c>
      <c r="N325" s="11"/>
    </row>
    <row r="326" spans="1:14" ht="14.25">
      <c r="A326" s="6">
        <v>321</v>
      </c>
      <c r="B326" s="7" t="s">
        <v>473</v>
      </c>
      <c r="C326" s="8">
        <v>80.2</v>
      </c>
      <c r="D326" s="8">
        <v>80.2</v>
      </c>
      <c r="E326" s="8">
        <v>80.2</v>
      </c>
      <c r="F326" s="6">
        <v>1</v>
      </c>
      <c r="G326" s="6">
        <v>1</v>
      </c>
      <c r="H326" s="9">
        <v>80.2</v>
      </c>
      <c r="I326" s="9">
        <v>80.2</v>
      </c>
      <c r="J326" s="6">
        <v>1</v>
      </c>
      <c r="K326" s="6">
        <v>0</v>
      </c>
      <c r="L326" s="6">
        <v>0</v>
      </c>
      <c r="M326" s="6">
        <v>0</v>
      </c>
      <c r="N326" s="11"/>
    </row>
    <row r="327" spans="1:14" ht="14.25">
      <c r="A327" s="6">
        <v>322</v>
      </c>
      <c r="B327" s="7" t="s">
        <v>474</v>
      </c>
      <c r="C327" s="8">
        <v>12.7</v>
      </c>
      <c r="D327" s="8">
        <v>12.7</v>
      </c>
      <c r="E327" s="8">
        <v>78.3</v>
      </c>
      <c r="F327" s="6">
        <v>2</v>
      </c>
      <c r="G327" s="6">
        <v>1</v>
      </c>
      <c r="H327" s="9">
        <v>78.3</v>
      </c>
      <c r="I327" s="9">
        <v>91</v>
      </c>
      <c r="J327" s="6">
        <v>1</v>
      </c>
      <c r="K327" s="6">
        <v>0</v>
      </c>
      <c r="L327" s="6">
        <v>0</v>
      </c>
      <c r="M327" s="6">
        <v>0</v>
      </c>
      <c r="N327" s="11"/>
    </row>
    <row r="328" spans="1:14" ht="14.25">
      <c r="A328" s="6">
        <v>323</v>
      </c>
      <c r="B328" s="7" t="s">
        <v>475</v>
      </c>
      <c r="C328" s="8">
        <v>77.5</v>
      </c>
      <c r="D328" s="8">
        <v>77.5</v>
      </c>
      <c r="E328" s="8">
        <v>77.5</v>
      </c>
      <c r="F328" s="6">
        <v>1</v>
      </c>
      <c r="G328" s="6">
        <v>1</v>
      </c>
      <c r="H328" s="9">
        <v>77.5</v>
      </c>
      <c r="I328" s="9">
        <v>77.5</v>
      </c>
      <c r="J328" s="6">
        <v>0</v>
      </c>
      <c r="K328" s="6">
        <v>1</v>
      </c>
      <c r="L328" s="6">
        <v>0</v>
      </c>
      <c r="M328" s="6">
        <v>0</v>
      </c>
      <c r="N328" s="11"/>
    </row>
    <row r="329" spans="1:14" ht="14.25">
      <c r="A329" s="6">
        <v>324</v>
      </c>
      <c r="B329" s="7" t="s">
        <v>476</v>
      </c>
      <c r="C329" s="8">
        <v>77.099999999999994</v>
      </c>
      <c r="D329" s="8">
        <v>77.099999999999994</v>
      </c>
      <c r="E329" s="8">
        <v>77.099999999999994</v>
      </c>
      <c r="F329" s="6">
        <v>1</v>
      </c>
      <c r="G329" s="6">
        <v>1</v>
      </c>
      <c r="H329" s="9">
        <v>77.099999999999994</v>
      </c>
      <c r="I329" s="9">
        <v>77.099999999999994</v>
      </c>
      <c r="J329" s="6">
        <v>1</v>
      </c>
      <c r="K329" s="6">
        <v>0</v>
      </c>
      <c r="L329" s="6">
        <v>0</v>
      </c>
      <c r="M329" s="6">
        <v>0</v>
      </c>
      <c r="N329" s="11"/>
    </row>
    <row r="330" spans="1:14" ht="14.25">
      <c r="A330" s="6">
        <v>325</v>
      </c>
      <c r="B330" s="7" t="s">
        <v>477</v>
      </c>
      <c r="C330" s="8">
        <v>71</v>
      </c>
      <c r="D330" s="8">
        <v>71</v>
      </c>
      <c r="E330" s="8">
        <v>71</v>
      </c>
      <c r="F330" s="6">
        <v>1</v>
      </c>
      <c r="G330" s="6">
        <v>1</v>
      </c>
      <c r="H330" s="9">
        <v>71</v>
      </c>
      <c r="I330" s="9">
        <v>71</v>
      </c>
      <c r="J330" s="6">
        <v>0</v>
      </c>
      <c r="K330" s="6">
        <v>0</v>
      </c>
      <c r="L330" s="6">
        <v>0</v>
      </c>
      <c r="M330" s="6">
        <v>1</v>
      </c>
      <c r="N330" s="11"/>
    </row>
    <row r="331" spans="1:14" ht="14.25">
      <c r="A331" s="6">
        <v>326</v>
      </c>
      <c r="B331" s="7" t="s">
        <v>478</v>
      </c>
      <c r="C331" s="8">
        <v>52.5</v>
      </c>
      <c r="D331" s="8">
        <v>52.5</v>
      </c>
      <c r="E331" s="8">
        <v>67.2</v>
      </c>
      <c r="F331" s="6">
        <v>2</v>
      </c>
      <c r="G331" s="6">
        <v>2</v>
      </c>
      <c r="H331" s="9">
        <v>119.7</v>
      </c>
      <c r="I331" s="9">
        <v>119.7</v>
      </c>
      <c r="J331" s="6">
        <v>1</v>
      </c>
      <c r="K331" s="6">
        <v>1</v>
      </c>
      <c r="L331" s="6">
        <v>0</v>
      </c>
      <c r="M331" s="6">
        <v>0</v>
      </c>
      <c r="N331" s="11"/>
    </row>
    <row r="332" spans="1:14" ht="14.25">
      <c r="A332" s="6">
        <v>327</v>
      </c>
      <c r="B332" s="7" t="s">
        <v>479</v>
      </c>
      <c r="C332" s="8">
        <v>65</v>
      </c>
      <c r="D332" s="8">
        <v>65</v>
      </c>
      <c r="E332" s="8">
        <v>65</v>
      </c>
      <c r="F332" s="6">
        <v>1</v>
      </c>
      <c r="G332" s="6">
        <v>1</v>
      </c>
      <c r="H332" s="9">
        <v>65</v>
      </c>
      <c r="I332" s="9">
        <v>65</v>
      </c>
      <c r="J332" s="6">
        <v>0</v>
      </c>
      <c r="K332" s="6">
        <v>1</v>
      </c>
      <c r="L332" s="6">
        <v>0</v>
      </c>
      <c r="M332" s="6">
        <v>0</v>
      </c>
      <c r="N332" s="11"/>
    </row>
    <row r="333" spans="1:14" ht="14.25">
      <c r="A333" s="6">
        <v>328</v>
      </c>
      <c r="B333" s="7" t="s">
        <v>480</v>
      </c>
      <c r="C333" s="8">
        <v>31.5</v>
      </c>
      <c r="D333" s="8">
        <v>31.5</v>
      </c>
      <c r="E333" s="8">
        <v>65</v>
      </c>
      <c r="F333" s="6">
        <v>2</v>
      </c>
      <c r="G333" s="6">
        <v>1</v>
      </c>
      <c r="H333" s="9">
        <v>31.5</v>
      </c>
      <c r="I333" s="9">
        <v>96.5</v>
      </c>
      <c r="J333" s="6">
        <v>0</v>
      </c>
      <c r="K333" s="6">
        <v>1</v>
      </c>
      <c r="L333" s="6">
        <v>0</v>
      </c>
      <c r="M333" s="6">
        <v>0</v>
      </c>
      <c r="N333" s="11"/>
    </row>
    <row r="334" spans="1:14" ht="14.25">
      <c r="A334" s="6">
        <v>329</v>
      </c>
      <c r="B334" s="7" t="s">
        <v>481</v>
      </c>
      <c r="C334" s="8">
        <v>30.6</v>
      </c>
      <c r="D334" s="8">
        <v>30.6</v>
      </c>
      <c r="E334" s="8">
        <v>63.5</v>
      </c>
      <c r="F334" s="6">
        <v>2</v>
      </c>
      <c r="G334" s="6">
        <v>2</v>
      </c>
      <c r="H334" s="9">
        <v>94</v>
      </c>
      <c r="I334" s="9">
        <v>94</v>
      </c>
      <c r="J334" s="6">
        <v>0</v>
      </c>
      <c r="K334" s="6">
        <v>1</v>
      </c>
      <c r="L334" s="6">
        <v>1</v>
      </c>
      <c r="M334" s="6">
        <v>0</v>
      </c>
      <c r="N334" s="11"/>
    </row>
    <row r="335" spans="1:14" ht="14.25">
      <c r="A335" s="6">
        <v>330</v>
      </c>
      <c r="B335" s="7" t="s">
        <v>482</v>
      </c>
      <c r="C335" s="8">
        <v>62</v>
      </c>
      <c r="D335" s="8">
        <v>62</v>
      </c>
      <c r="E335" s="8">
        <v>62</v>
      </c>
      <c r="F335" s="6">
        <v>1</v>
      </c>
      <c r="G335" s="6">
        <v>1</v>
      </c>
      <c r="H335" s="9">
        <v>62</v>
      </c>
      <c r="I335" s="9">
        <v>62</v>
      </c>
      <c r="J335" s="6">
        <v>0</v>
      </c>
      <c r="K335" s="6">
        <v>0</v>
      </c>
      <c r="L335" s="6">
        <v>0</v>
      </c>
      <c r="M335" s="6">
        <v>1</v>
      </c>
      <c r="N335" s="11"/>
    </row>
    <row r="336" spans="1:14" ht="14.25">
      <c r="A336" s="6">
        <v>331</v>
      </c>
      <c r="B336" s="7" t="s">
        <v>483</v>
      </c>
      <c r="C336" s="8">
        <v>35</v>
      </c>
      <c r="D336" s="8">
        <v>35</v>
      </c>
      <c r="E336" s="8">
        <v>60.5</v>
      </c>
      <c r="F336" s="6">
        <v>2</v>
      </c>
      <c r="G336" s="6">
        <v>2</v>
      </c>
      <c r="H336" s="9">
        <v>95.5</v>
      </c>
      <c r="I336" s="9">
        <v>95.5</v>
      </c>
      <c r="J336" s="6">
        <v>0</v>
      </c>
      <c r="K336" s="6">
        <v>0</v>
      </c>
      <c r="L336" s="6">
        <v>0</v>
      </c>
      <c r="M336" s="6">
        <v>2</v>
      </c>
      <c r="N336" s="11"/>
    </row>
    <row r="337" spans="1:14" ht="14.25">
      <c r="A337" s="6">
        <v>332</v>
      </c>
      <c r="B337" s="7" t="s">
        <v>484</v>
      </c>
      <c r="C337" s="8">
        <v>60.5</v>
      </c>
      <c r="D337" s="8">
        <v>60.5</v>
      </c>
      <c r="E337" s="8">
        <v>60.5</v>
      </c>
      <c r="F337" s="6">
        <v>1</v>
      </c>
      <c r="G337" s="6">
        <v>1</v>
      </c>
      <c r="H337" s="9">
        <v>60.5</v>
      </c>
      <c r="I337" s="9">
        <v>60.5</v>
      </c>
      <c r="J337" s="6">
        <v>0</v>
      </c>
      <c r="K337" s="6">
        <v>0</v>
      </c>
      <c r="L337" s="6">
        <v>0</v>
      </c>
      <c r="M337" s="6">
        <v>1</v>
      </c>
      <c r="N337" s="11"/>
    </row>
    <row r="338" spans="1:14" ht="14.25">
      <c r="A338" s="6">
        <v>333</v>
      </c>
      <c r="B338" s="7" t="s">
        <v>485</v>
      </c>
      <c r="C338" s="8">
        <v>60</v>
      </c>
      <c r="D338" s="8">
        <v>60</v>
      </c>
      <c r="E338" s="8">
        <v>60</v>
      </c>
      <c r="F338" s="6">
        <v>1</v>
      </c>
      <c r="G338" s="6">
        <v>1</v>
      </c>
      <c r="H338" s="9">
        <v>60</v>
      </c>
      <c r="I338" s="9">
        <v>60</v>
      </c>
      <c r="J338" s="6">
        <v>1</v>
      </c>
      <c r="K338" s="6">
        <v>0</v>
      </c>
      <c r="L338" s="6">
        <v>0</v>
      </c>
      <c r="M338" s="6">
        <v>0</v>
      </c>
      <c r="N338" s="11"/>
    </row>
    <row r="339" spans="1:14" ht="14.25">
      <c r="A339" s="6">
        <v>334</v>
      </c>
      <c r="B339" s="7" t="s">
        <v>486</v>
      </c>
      <c r="C339" s="8">
        <v>21</v>
      </c>
      <c r="D339" s="8">
        <v>21</v>
      </c>
      <c r="E339" s="8">
        <v>59.5</v>
      </c>
      <c r="F339" s="6">
        <v>2</v>
      </c>
      <c r="G339" s="6">
        <v>1</v>
      </c>
      <c r="H339" s="9">
        <v>21</v>
      </c>
      <c r="I339" s="9">
        <v>80.5</v>
      </c>
      <c r="J339" s="6">
        <v>1</v>
      </c>
      <c r="K339" s="6">
        <v>0</v>
      </c>
      <c r="L339" s="6">
        <v>0</v>
      </c>
      <c r="M339" s="6">
        <v>0</v>
      </c>
      <c r="N339" s="11"/>
    </row>
    <row r="340" spans="1:14" ht="14.25">
      <c r="A340" s="6">
        <v>335</v>
      </c>
      <c r="B340" s="7" t="s">
        <v>487</v>
      </c>
      <c r="C340" s="8">
        <v>56.5</v>
      </c>
      <c r="D340" s="8">
        <v>56.5</v>
      </c>
      <c r="E340" s="8">
        <v>56.5</v>
      </c>
      <c r="F340" s="6">
        <v>1</v>
      </c>
      <c r="G340" s="6">
        <v>1</v>
      </c>
      <c r="H340" s="9">
        <v>56.5</v>
      </c>
      <c r="I340" s="9">
        <v>56.5</v>
      </c>
      <c r="J340" s="6">
        <v>1</v>
      </c>
      <c r="K340" s="6">
        <v>0</v>
      </c>
      <c r="L340" s="6">
        <v>0</v>
      </c>
      <c r="M340" s="6">
        <v>0</v>
      </c>
      <c r="N340" s="11"/>
    </row>
    <row r="341" spans="1:14" ht="14.25">
      <c r="A341" s="6">
        <v>336</v>
      </c>
      <c r="B341" s="7" t="s">
        <v>488</v>
      </c>
      <c r="C341" s="8">
        <v>55.6</v>
      </c>
      <c r="D341" s="8">
        <v>55.6</v>
      </c>
      <c r="E341" s="8">
        <v>55.6</v>
      </c>
      <c r="F341" s="6">
        <v>1</v>
      </c>
      <c r="G341" s="6">
        <v>1</v>
      </c>
      <c r="H341" s="9">
        <v>55.6</v>
      </c>
      <c r="I341" s="9">
        <v>55.6</v>
      </c>
      <c r="J341" s="6">
        <v>1</v>
      </c>
      <c r="K341" s="6">
        <v>0</v>
      </c>
      <c r="L341" s="6">
        <v>0</v>
      </c>
      <c r="M341" s="6">
        <v>0</v>
      </c>
      <c r="N341" s="11"/>
    </row>
    <row r="342" spans="1:14" ht="14.25">
      <c r="A342" s="6">
        <v>337</v>
      </c>
      <c r="B342" s="7" t="s">
        <v>489</v>
      </c>
      <c r="C342" s="8">
        <v>54</v>
      </c>
      <c r="D342" s="8">
        <v>54</v>
      </c>
      <c r="E342" s="8">
        <v>54</v>
      </c>
      <c r="F342" s="6">
        <v>1</v>
      </c>
      <c r="G342" s="6">
        <v>1</v>
      </c>
      <c r="H342" s="9">
        <v>54</v>
      </c>
      <c r="I342" s="9">
        <v>54</v>
      </c>
      <c r="J342" s="6">
        <v>0</v>
      </c>
      <c r="K342" s="6">
        <v>0</v>
      </c>
      <c r="L342" s="6">
        <v>0</v>
      </c>
      <c r="M342" s="6">
        <v>1</v>
      </c>
      <c r="N342" s="11"/>
    </row>
    <row r="343" spans="1:14" ht="14.25">
      <c r="A343" s="6">
        <v>338</v>
      </c>
      <c r="B343" s="7" t="s">
        <v>490</v>
      </c>
      <c r="C343" s="8">
        <v>50</v>
      </c>
      <c r="D343" s="8">
        <v>50</v>
      </c>
      <c r="E343" s="8">
        <v>51.5</v>
      </c>
      <c r="F343" s="6">
        <v>2</v>
      </c>
      <c r="G343" s="6">
        <v>2</v>
      </c>
      <c r="H343" s="9">
        <v>101.5</v>
      </c>
      <c r="I343" s="9">
        <v>101.5</v>
      </c>
      <c r="J343" s="6">
        <v>1</v>
      </c>
      <c r="K343" s="6">
        <v>1</v>
      </c>
      <c r="L343" s="6">
        <v>0</v>
      </c>
      <c r="M343" s="6">
        <v>0</v>
      </c>
      <c r="N343" s="11"/>
    </row>
    <row r="344" spans="1:14" ht="14.25">
      <c r="A344" s="6">
        <v>339</v>
      </c>
      <c r="B344" s="7" t="s">
        <v>491</v>
      </c>
      <c r="C344" s="8">
        <v>51</v>
      </c>
      <c r="D344" s="8">
        <v>51</v>
      </c>
      <c r="E344" s="8">
        <v>51</v>
      </c>
      <c r="F344" s="6">
        <v>1</v>
      </c>
      <c r="G344" s="6">
        <v>1</v>
      </c>
      <c r="H344" s="9">
        <v>51</v>
      </c>
      <c r="I344" s="9">
        <v>51</v>
      </c>
      <c r="J344" s="6">
        <v>0</v>
      </c>
      <c r="K344" s="6">
        <v>0</v>
      </c>
      <c r="L344" s="6">
        <v>0</v>
      </c>
      <c r="M344" s="6">
        <v>1</v>
      </c>
      <c r="N344" s="11"/>
    </row>
    <row r="345" spans="1:14" ht="14.25">
      <c r="A345" s="6">
        <v>340</v>
      </c>
      <c r="B345" s="7" t="s">
        <v>492</v>
      </c>
      <c r="C345" s="8">
        <v>51</v>
      </c>
      <c r="D345" s="8">
        <v>51</v>
      </c>
      <c r="E345" s="8">
        <v>51</v>
      </c>
      <c r="F345" s="6">
        <v>1</v>
      </c>
      <c r="G345" s="6">
        <v>1</v>
      </c>
      <c r="H345" s="9">
        <v>51</v>
      </c>
      <c r="I345" s="9">
        <v>51</v>
      </c>
      <c r="J345" s="6">
        <v>0</v>
      </c>
      <c r="K345" s="6">
        <v>0</v>
      </c>
      <c r="L345" s="6">
        <v>0</v>
      </c>
      <c r="M345" s="6">
        <v>1</v>
      </c>
      <c r="N345" s="11"/>
    </row>
    <row r="346" spans="1:14" ht="14.25">
      <c r="A346" s="6">
        <v>341</v>
      </c>
      <c r="B346" s="7" t="s">
        <v>493</v>
      </c>
      <c r="C346" s="8">
        <v>50.6</v>
      </c>
      <c r="D346" s="8">
        <v>50.6</v>
      </c>
      <c r="E346" s="8">
        <v>50.6</v>
      </c>
      <c r="F346" s="6">
        <v>1</v>
      </c>
      <c r="G346" s="6">
        <v>1</v>
      </c>
      <c r="H346" s="9">
        <v>50.6</v>
      </c>
      <c r="I346" s="9">
        <v>50.6</v>
      </c>
      <c r="J346" s="6">
        <v>1</v>
      </c>
      <c r="K346" s="6">
        <v>0</v>
      </c>
      <c r="L346" s="6">
        <v>0</v>
      </c>
      <c r="M346" s="6">
        <v>0</v>
      </c>
      <c r="N346" s="11"/>
    </row>
    <row r="347" spans="1:14" ht="14.25">
      <c r="A347" s="6">
        <v>342</v>
      </c>
      <c r="B347" s="7" t="s">
        <v>494</v>
      </c>
      <c r="C347" s="8">
        <v>50.5</v>
      </c>
      <c r="D347" s="8">
        <v>50.5</v>
      </c>
      <c r="E347" s="8">
        <v>50.5</v>
      </c>
      <c r="F347" s="6">
        <v>1</v>
      </c>
      <c r="G347" s="6">
        <v>1</v>
      </c>
      <c r="H347" s="9">
        <v>50.5</v>
      </c>
      <c r="I347" s="9">
        <v>50.5</v>
      </c>
      <c r="J347" s="6">
        <v>1</v>
      </c>
      <c r="K347" s="6">
        <v>0</v>
      </c>
      <c r="L347" s="6">
        <v>0</v>
      </c>
      <c r="M347" s="6">
        <v>0</v>
      </c>
      <c r="N347" s="11"/>
    </row>
    <row r="348" spans="1:14" ht="14.25">
      <c r="A348" s="6">
        <v>343</v>
      </c>
      <c r="B348" s="7" t="s">
        <v>495</v>
      </c>
      <c r="C348" s="8">
        <v>44.5</v>
      </c>
      <c r="D348" s="8">
        <v>44.5</v>
      </c>
      <c r="E348" s="8">
        <v>44.5</v>
      </c>
      <c r="F348" s="6">
        <v>1</v>
      </c>
      <c r="G348" s="6">
        <v>1</v>
      </c>
      <c r="H348" s="9">
        <v>44.5</v>
      </c>
      <c r="I348" s="9">
        <v>44.5</v>
      </c>
      <c r="J348" s="6">
        <v>0</v>
      </c>
      <c r="K348" s="6">
        <v>0</v>
      </c>
      <c r="L348" s="6">
        <v>0</v>
      </c>
      <c r="M348" s="6">
        <v>1</v>
      </c>
      <c r="N348" s="11"/>
    </row>
    <row r="349" spans="1:14" ht="14.25">
      <c r="A349" s="6">
        <v>344</v>
      </c>
      <c r="B349" s="7" t="s">
        <v>496</v>
      </c>
      <c r="C349" s="8">
        <v>44.5</v>
      </c>
      <c r="D349" s="8">
        <v>44.5</v>
      </c>
      <c r="E349" s="8">
        <v>44.5</v>
      </c>
      <c r="F349" s="6">
        <v>1</v>
      </c>
      <c r="G349" s="6">
        <v>1</v>
      </c>
      <c r="H349" s="9">
        <v>44.5</v>
      </c>
      <c r="I349" s="9">
        <v>44.5</v>
      </c>
      <c r="J349" s="6">
        <v>0</v>
      </c>
      <c r="K349" s="6">
        <v>0</v>
      </c>
      <c r="L349" s="6">
        <v>0</v>
      </c>
      <c r="M349" s="6">
        <v>1</v>
      </c>
      <c r="N349" s="11"/>
    </row>
    <row r="350" spans="1:14" ht="14.25">
      <c r="A350" s="6">
        <v>345</v>
      </c>
      <c r="B350" s="7" t="s">
        <v>497</v>
      </c>
      <c r="C350" s="8">
        <v>32.5</v>
      </c>
      <c r="D350" s="8">
        <v>32.5</v>
      </c>
      <c r="E350" s="8">
        <v>43</v>
      </c>
      <c r="F350" s="6">
        <v>2</v>
      </c>
      <c r="G350" s="6">
        <v>1</v>
      </c>
      <c r="H350" s="9">
        <v>43</v>
      </c>
      <c r="I350" s="9">
        <v>75.5</v>
      </c>
      <c r="J350" s="6">
        <v>1</v>
      </c>
      <c r="K350" s="6">
        <v>0</v>
      </c>
      <c r="L350" s="6">
        <v>0</v>
      </c>
      <c r="M350" s="6">
        <v>0</v>
      </c>
      <c r="N350" s="11"/>
    </row>
    <row r="351" spans="1:14" ht="14.25">
      <c r="A351" s="6">
        <v>346</v>
      </c>
      <c r="B351" s="7" t="s">
        <v>498</v>
      </c>
      <c r="C351" s="8">
        <v>42</v>
      </c>
      <c r="D351" s="8">
        <v>42</v>
      </c>
      <c r="E351" s="8">
        <v>42</v>
      </c>
      <c r="F351" s="6">
        <v>1</v>
      </c>
      <c r="G351" s="6">
        <v>1</v>
      </c>
      <c r="H351" s="9">
        <v>42</v>
      </c>
      <c r="I351" s="9">
        <v>42</v>
      </c>
      <c r="J351" s="6">
        <v>1</v>
      </c>
      <c r="K351" s="6">
        <v>0</v>
      </c>
      <c r="L351" s="6">
        <v>0</v>
      </c>
      <c r="M351" s="6">
        <v>0</v>
      </c>
      <c r="N351" s="11"/>
    </row>
    <row r="352" spans="1:14" ht="14.25">
      <c r="A352" s="6">
        <v>347</v>
      </c>
      <c r="B352" s="7" t="s">
        <v>499</v>
      </c>
      <c r="C352" s="8">
        <v>37.5</v>
      </c>
      <c r="D352" s="8">
        <v>37.5</v>
      </c>
      <c r="E352" s="8">
        <v>37.5</v>
      </c>
      <c r="F352" s="6">
        <v>1</v>
      </c>
      <c r="G352" s="6">
        <v>1</v>
      </c>
      <c r="H352" s="9">
        <v>37.5</v>
      </c>
      <c r="I352" s="9">
        <v>37.5</v>
      </c>
      <c r="J352" s="6">
        <v>0</v>
      </c>
      <c r="K352" s="6">
        <v>1</v>
      </c>
      <c r="L352" s="6">
        <v>0</v>
      </c>
      <c r="M352" s="6">
        <v>0</v>
      </c>
      <c r="N352" s="11"/>
    </row>
    <row r="353" spans="1:14" ht="14.25">
      <c r="A353" s="6">
        <v>348</v>
      </c>
      <c r="B353" s="7" t="s">
        <v>500</v>
      </c>
      <c r="C353" s="8">
        <v>35</v>
      </c>
      <c r="D353" s="8">
        <v>35</v>
      </c>
      <c r="E353" s="8">
        <v>35</v>
      </c>
      <c r="F353" s="6">
        <v>1</v>
      </c>
      <c r="G353" s="6">
        <v>1</v>
      </c>
      <c r="H353" s="9">
        <v>35</v>
      </c>
      <c r="I353" s="9">
        <v>35</v>
      </c>
      <c r="J353" s="6">
        <v>0</v>
      </c>
      <c r="K353" s="6">
        <v>0</v>
      </c>
      <c r="L353" s="6">
        <v>0</v>
      </c>
      <c r="M353" s="6">
        <v>1</v>
      </c>
      <c r="N353" s="11"/>
    </row>
    <row r="354" spans="1:14" ht="14.25">
      <c r="A354" s="6">
        <v>349</v>
      </c>
      <c r="B354" s="7" t="s">
        <v>501</v>
      </c>
      <c r="C354" s="8">
        <v>33</v>
      </c>
      <c r="D354" s="8">
        <v>33</v>
      </c>
      <c r="E354" s="8">
        <v>33</v>
      </c>
      <c r="F354" s="6">
        <v>1</v>
      </c>
      <c r="G354" s="6">
        <v>1</v>
      </c>
      <c r="H354" s="9">
        <v>33</v>
      </c>
      <c r="I354" s="9">
        <v>33</v>
      </c>
      <c r="J354" s="6">
        <v>0</v>
      </c>
      <c r="K354" s="6">
        <v>0</v>
      </c>
      <c r="L354" s="6">
        <v>0</v>
      </c>
      <c r="M354" s="6">
        <v>1</v>
      </c>
      <c r="N354" s="11"/>
    </row>
    <row r="355" spans="1:14" ht="14.25">
      <c r="A355" s="6">
        <v>350</v>
      </c>
      <c r="B355" s="7" t="s">
        <v>502</v>
      </c>
      <c r="C355" s="8">
        <v>11.2</v>
      </c>
      <c r="D355" s="8">
        <v>11.2</v>
      </c>
      <c r="E355" s="8">
        <v>31.2</v>
      </c>
      <c r="F355" s="6">
        <v>2</v>
      </c>
      <c r="G355" s="6">
        <v>2</v>
      </c>
      <c r="H355" s="9">
        <v>42.4</v>
      </c>
      <c r="I355" s="9">
        <v>42.4</v>
      </c>
      <c r="J355" s="6">
        <v>0</v>
      </c>
      <c r="K355" s="6">
        <v>0</v>
      </c>
      <c r="L355" s="6">
        <v>0</v>
      </c>
      <c r="M355" s="6">
        <v>2</v>
      </c>
      <c r="N355" s="11"/>
    </row>
    <row r="356" spans="1:14" ht="14.25">
      <c r="A356" s="6">
        <v>351</v>
      </c>
      <c r="B356" s="7" t="s">
        <v>503</v>
      </c>
      <c r="C356" s="8">
        <v>31</v>
      </c>
      <c r="D356" s="8">
        <v>31</v>
      </c>
      <c r="E356" s="8">
        <v>31</v>
      </c>
      <c r="F356" s="6">
        <v>1</v>
      </c>
      <c r="G356" s="6">
        <v>1</v>
      </c>
      <c r="H356" s="9">
        <v>31</v>
      </c>
      <c r="I356" s="9">
        <v>31</v>
      </c>
      <c r="J356" s="6">
        <v>1</v>
      </c>
      <c r="K356" s="6">
        <v>0</v>
      </c>
      <c r="L356" s="6">
        <v>0</v>
      </c>
      <c r="M356" s="6">
        <v>0</v>
      </c>
      <c r="N356" s="11"/>
    </row>
    <row r="357" spans="1:14" ht="14.25">
      <c r="A357" s="6">
        <v>352</v>
      </c>
      <c r="B357" s="7" t="s">
        <v>504</v>
      </c>
      <c r="C357" s="8">
        <v>27.5</v>
      </c>
      <c r="D357" s="8">
        <v>27.5</v>
      </c>
      <c r="E357" s="8">
        <v>27.5</v>
      </c>
      <c r="F357" s="6">
        <v>1</v>
      </c>
      <c r="G357" s="6">
        <v>1</v>
      </c>
      <c r="H357" s="9">
        <v>27.5</v>
      </c>
      <c r="I357" s="9">
        <v>27.5</v>
      </c>
      <c r="J357" s="6">
        <v>0</v>
      </c>
      <c r="K357" s="6">
        <v>0</v>
      </c>
      <c r="L357" s="6">
        <v>0</v>
      </c>
      <c r="M357" s="6">
        <v>1</v>
      </c>
      <c r="N357" s="11"/>
    </row>
    <row r="358" spans="1:14" ht="14.25">
      <c r="A358" s="6">
        <v>353</v>
      </c>
      <c r="B358" s="7" t="s">
        <v>505</v>
      </c>
      <c r="C358" s="8">
        <v>24</v>
      </c>
      <c r="D358" s="8">
        <v>24</v>
      </c>
      <c r="E358" s="8">
        <v>24</v>
      </c>
      <c r="F358" s="6">
        <v>1</v>
      </c>
      <c r="G358" s="6">
        <v>1</v>
      </c>
      <c r="H358" s="9">
        <v>24</v>
      </c>
      <c r="I358" s="9">
        <v>24</v>
      </c>
      <c r="J358" s="6">
        <v>1</v>
      </c>
      <c r="K358" s="6">
        <v>0</v>
      </c>
      <c r="L358" s="6">
        <v>0</v>
      </c>
      <c r="M358" s="6">
        <v>0</v>
      </c>
      <c r="N358" s="11"/>
    </row>
    <row r="359" spans="1:14" ht="14.25">
      <c r="A359" s="6">
        <v>354</v>
      </c>
      <c r="B359" s="7" t="s">
        <v>506</v>
      </c>
      <c r="C359" s="8">
        <v>12.5</v>
      </c>
      <c r="D359" s="8">
        <v>12.5</v>
      </c>
      <c r="E359" s="8">
        <v>21.5</v>
      </c>
      <c r="F359" s="6">
        <v>2</v>
      </c>
      <c r="G359" s="6">
        <v>2</v>
      </c>
      <c r="H359" s="9">
        <v>34</v>
      </c>
      <c r="I359" s="9">
        <v>34</v>
      </c>
      <c r="J359" s="6">
        <v>2</v>
      </c>
      <c r="K359" s="6">
        <v>0</v>
      </c>
      <c r="L359" s="6">
        <v>0</v>
      </c>
      <c r="M359" s="6">
        <v>0</v>
      </c>
      <c r="N359" s="11"/>
    </row>
    <row r="360" spans="1:14" ht="14.25">
      <c r="A360" s="6">
        <v>355</v>
      </c>
      <c r="B360" s="7" t="s">
        <v>507</v>
      </c>
      <c r="C360" s="8">
        <v>21</v>
      </c>
      <c r="D360" s="8">
        <v>21</v>
      </c>
      <c r="E360" s="8">
        <v>21</v>
      </c>
      <c r="F360" s="6">
        <v>1</v>
      </c>
      <c r="G360" s="6">
        <v>1</v>
      </c>
      <c r="H360" s="9">
        <v>21</v>
      </c>
      <c r="I360" s="9">
        <v>21</v>
      </c>
      <c r="J360" s="6">
        <v>1</v>
      </c>
      <c r="K360" s="6">
        <v>0</v>
      </c>
      <c r="L360" s="6">
        <v>0</v>
      </c>
      <c r="M360" s="6">
        <v>0</v>
      </c>
      <c r="N360" s="11"/>
    </row>
    <row r="361" spans="1:14" ht="14.25">
      <c r="A361" s="6">
        <v>356</v>
      </c>
      <c r="B361" s="7" t="s">
        <v>508</v>
      </c>
      <c r="C361" s="8">
        <v>21</v>
      </c>
      <c r="D361" s="8">
        <v>21</v>
      </c>
      <c r="E361" s="8">
        <v>21</v>
      </c>
      <c r="F361" s="6">
        <v>1</v>
      </c>
      <c r="G361" s="6">
        <v>1</v>
      </c>
      <c r="H361" s="9">
        <v>21</v>
      </c>
      <c r="I361" s="9">
        <v>21</v>
      </c>
      <c r="J361" s="6">
        <v>1</v>
      </c>
      <c r="K361" s="6">
        <v>0</v>
      </c>
      <c r="L361" s="6">
        <v>0</v>
      </c>
      <c r="M361" s="6">
        <v>0</v>
      </c>
      <c r="N361" s="11"/>
    </row>
    <row r="362" spans="1:14" ht="14.25">
      <c r="A362" s="6">
        <v>357</v>
      </c>
      <c r="B362" s="7" t="s">
        <v>509</v>
      </c>
      <c r="C362" s="8">
        <v>21</v>
      </c>
      <c r="D362" s="8">
        <v>21</v>
      </c>
      <c r="E362" s="8">
        <v>21</v>
      </c>
      <c r="F362" s="6">
        <v>1</v>
      </c>
      <c r="G362" s="6">
        <v>1</v>
      </c>
      <c r="H362" s="9">
        <v>21</v>
      </c>
      <c r="I362" s="9">
        <v>21</v>
      </c>
      <c r="J362" s="6">
        <v>1</v>
      </c>
      <c r="K362" s="6">
        <v>0</v>
      </c>
      <c r="L362" s="6">
        <v>0</v>
      </c>
      <c r="M362" s="6">
        <v>0</v>
      </c>
      <c r="N362" s="11"/>
    </row>
    <row r="363" spans="1:14" ht="14.25">
      <c r="A363" s="6">
        <v>358</v>
      </c>
      <c r="B363" s="7" t="s">
        <v>510</v>
      </c>
      <c r="C363" s="8">
        <v>2.1</v>
      </c>
      <c r="D363" s="8">
        <v>2.1</v>
      </c>
      <c r="E363" s="8">
        <v>2.1</v>
      </c>
      <c r="F363" s="6">
        <v>1</v>
      </c>
      <c r="G363" s="6">
        <v>1</v>
      </c>
      <c r="H363" s="9">
        <v>2.1</v>
      </c>
      <c r="I363" s="9">
        <v>2.1</v>
      </c>
      <c r="J363" s="6">
        <v>0</v>
      </c>
      <c r="K363" s="6">
        <v>0</v>
      </c>
      <c r="L363" s="6">
        <v>0</v>
      </c>
      <c r="M363" s="6">
        <v>1</v>
      </c>
      <c r="N363" s="11"/>
    </row>
  </sheetData>
  <autoFilter ref="A5:N363" xr:uid="{00000000-0009-0000-0000-000000000000}"/>
  <mergeCells count="3">
    <mergeCell ref="A1:N1"/>
    <mergeCell ref="A2:N2"/>
    <mergeCell ref="A3:N3"/>
  </mergeCells>
  <phoneticPr fontId="13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245"/>
  <sheetViews>
    <sheetView zoomScaleNormal="100" workbookViewId="0">
      <pane ySplit="4" topLeftCell="A5" activePane="bottomLeft" state="frozen"/>
      <selection pane="bottomLeft"/>
    </sheetView>
  </sheetViews>
  <sheetFormatPr defaultColWidth="8.6640625" defaultRowHeight="15" customHeight="1"/>
  <cols>
    <col min="1" max="1" width="6" customWidth="1"/>
    <col min="2" max="2" width="35" customWidth="1"/>
    <col min="3" max="3" width="8" customWidth="1"/>
    <col min="4" max="4" width="35" customWidth="1"/>
    <col min="5" max="5" width="18" customWidth="1"/>
    <col min="6" max="6" width="14" customWidth="1"/>
    <col min="7" max="7" width="16" customWidth="1"/>
    <col min="8" max="8" width="7" customWidth="1"/>
    <col min="9" max="9" width="16" customWidth="1"/>
  </cols>
  <sheetData>
    <row r="1" spans="1:9" ht="17.649999999999999">
      <c r="A1" s="3" t="s">
        <v>511</v>
      </c>
      <c r="B1" s="3"/>
      <c r="C1" s="3"/>
      <c r="D1" s="3"/>
      <c r="E1" s="3"/>
      <c r="F1" s="3"/>
      <c r="G1" s="3"/>
      <c r="H1" s="3"/>
      <c r="I1" s="3"/>
    </row>
    <row r="2" spans="1:9" ht="14.25">
      <c r="A2" s="1" t="s">
        <v>512</v>
      </c>
      <c r="B2" s="1"/>
      <c r="C2" s="1"/>
      <c r="D2" s="1"/>
      <c r="E2" s="1"/>
      <c r="F2" s="1"/>
      <c r="G2" s="1"/>
      <c r="H2" s="1"/>
      <c r="I2" s="1"/>
    </row>
    <row r="4" spans="1:9" ht="14.25">
      <c r="A4" s="4" t="s">
        <v>3</v>
      </c>
      <c r="B4" s="4" t="s">
        <v>4</v>
      </c>
      <c r="C4" s="4" t="s">
        <v>513</v>
      </c>
      <c r="D4" s="4" t="s">
        <v>514</v>
      </c>
      <c r="E4" s="5" t="s">
        <v>515</v>
      </c>
      <c r="F4" s="5" t="s">
        <v>516</v>
      </c>
      <c r="G4" s="5" t="s">
        <v>517</v>
      </c>
      <c r="H4" s="4" t="s">
        <v>518</v>
      </c>
      <c r="I4" s="5" t="s">
        <v>519</v>
      </c>
    </row>
    <row r="5" spans="1:9" ht="14.25">
      <c r="A5" s="6">
        <v>1</v>
      </c>
      <c r="B5" s="7" t="s">
        <v>352</v>
      </c>
      <c r="C5" s="6" t="s">
        <v>520</v>
      </c>
      <c r="D5" s="7" t="s">
        <v>521</v>
      </c>
      <c r="E5" s="7" t="s">
        <v>522</v>
      </c>
      <c r="F5" s="12">
        <v>44047</v>
      </c>
      <c r="G5" s="9">
        <v>32</v>
      </c>
      <c r="H5" s="6">
        <v>1</v>
      </c>
      <c r="I5" s="9">
        <v>32</v>
      </c>
    </row>
    <row r="6" spans="1:9" ht="14.25">
      <c r="A6" s="6">
        <v>2</v>
      </c>
      <c r="B6" s="7" t="s">
        <v>352</v>
      </c>
      <c r="C6" s="6" t="s">
        <v>520</v>
      </c>
      <c r="D6" s="7" t="s">
        <v>523</v>
      </c>
      <c r="E6" s="7" t="s">
        <v>522</v>
      </c>
      <c r="F6" s="12">
        <v>44285</v>
      </c>
      <c r="G6" s="9">
        <v>371</v>
      </c>
      <c r="H6" s="6">
        <v>1</v>
      </c>
      <c r="I6" s="9">
        <v>371</v>
      </c>
    </row>
    <row r="7" spans="1:9" ht="14.25">
      <c r="A7" s="6">
        <v>3</v>
      </c>
      <c r="B7" s="7" t="s">
        <v>352</v>
      </c>
      <c r="C7" s="6" t="s">
        <v>520</v>
      </c>
      <c r="D7" s="7" t="s">
        <v>524</v>
      </c>
      <c r="E7" s="7" t="s">
        <v>522</v>
      </c>
      <c r="F7" s="12">
        <v>44382</v>
      </c>
      <c r="G7" s="9">
        <v>10.1</v>
      </c>
      <c r="H7" s="6">
        <v>1</v>
      </c>
      <c r="I7" s="9">
        <v>10.1</v>
      </c>
    </row>
    <row r="8" spans="1:9" ht="14.25">
      <c r="A8" s="6">
        <v>4</v>
      </c>
      <c r="B8" s="7" t="s">
        <v>352</v>
      </c>
      <c r="C8" s="6" t="s">
        <v>520</v>
      </c>
      <c r="D8" s="7" t="s">
        <v>525</v>
      </c>
      <c r="E8" s="7" t="s">
        <v>522</v>
      </c>
      <c r="F8" s="12">
        <v>44351</v>
      </c>
      <c r="G8" s="9">
        <v>10.1</v>
      </c>
      <c r="H8" s="6">
        <v>1</v>
      </c>
      <c r="I8" s="9">
        <v>10.1</v>
      </c>
    </row>
    <row r="9" spans="1:9" ht="14.25">
      <c r="A9" s="6">
        <v>5</v>
      </c>
      <c r="B9" s="7" t="s">
        <v>352</v>
      </c>
      <c r="C9" s="6" t="s">
        <v>520</v>
      </c>
      <c r="D9" s="7" t="s">
        <v>526</v>
      </c>
      <c r="E9" s="7" t="s">
        <v>522</v>
      </c>
      <c r="F9" s="12">
        <v>44405</v>
      </c>
      <c r="G9" s="9">
        <v>10.1</v>
      </c>
      <c r="H9" s="6">
        <v>1</v>
      </c>
      <c r="I9" s="9">
        <v>10.1</v>
      </c>
    </row>
    <row r="10" spans="1:9" ht="14.25">
      <c r="A10" s="6">
        <v>6</v>
      </c>
      <c r="B10" s="7" t="s">
        <v>455</v>
      </c>
      <c r="C10" s="6" t="s">
        <v>520</v>
      </c>
      <c r="D10" s="7" t="s">
        <v>527</v>
      </c>
      <c r="E10" s="7" t="s">
        <v>528</v>
      </c>
      <c r="F10" s="12">
        <v>43423</v>
      </c>
      <c r="G10" s="9">
        <v>17</v>
      </c>
      <c r="H10" s="6">
        <v>1</v>
      </c>
      <c r="I10" s="9">
        <v>17</v>
      </c>
    </row>
    <row r="11" spans="1:9" ht="14.25">
      <c r="A11" s="6">
        <v>7</v>
      </c>
      <c r="B11" s="7" t="s">
        <v>455</v>
      </c>
      <c r="C11" s="6" t="s">
        <v>520</v>
      </c>
      <c r="D11" s="7" t="s">
        <v>529</v>
      </c>
      <c r="E11" s="7" t="s">
        <v>522</v>
      </c>
      <c r="F11" s="12">
        <v>43117</v>
      </c>
      <c r="G11" s="9">
        <v>22.6</v>
      </c>
      <c r="H11" s="6">
        <v>1</v>
      </c>
      <c r="I11" s="9">
        <v>22.6</v>
      </c>
    </row>
    <row r="12" spans="1:9" ht="14.25">
      <c r="A12" s="6">
        <v>8</v>
      </c>
      <c r="B12" s="7" t="s">
        <v>455</v>
      </c>
      <c r="C12" s="6" t="s">
        <v>520</v>
      </c>
      <c r="D12" s="7" t="s">
        <v>530</v>
      </c>
      <c r="E12" s="7" t="s">
        <v>528</v>
      </c>
      <c r="F12" s="12">
        <v>43796</v>
      </c>
      <c r="G12" s="9">
        <v>31.7</v>
      </c>
      <c r="H12" s="6">
        <v>1</v>
      </c>
      <c r="I12" s="9">
        <v>31.7</v>
      </c>
    </row>
    <row r="13" spans="1:9" ht="14.25">
      <c r="A13" s="6">
        <v>9</v>
      </c>
      <c r="B13" s="7" t="s">
        <v>455</v>
      </c>
      <c r="C13" s="6" t="s">
        <v>520</v>
      </c>
      <c r="D13" s="7" t="s">
        <v>531</v>
      </c>
      <c r="E13" s="7" t="s">
        <v>528</v>
      </c>
      <c r="F13" s="12">
        <v>43670</v>
      </c>
      <c r="G13" s="9">
        <v>106.5</v>
      </c>
      <c r="H13" s="6">
        <v>1</v>
      </c>
      <c r="I13" s="9">
        <v>106.5</v>
      </c>
    </row>
    <row r="14" spans="1:9" ht="14.25">
      <c r="A14" s="6">
        <v>10</v>
      </c>
      <c r="B14" s="7" t="s">
        <v>455</v>
      </c>
      <c r="C14" s="6" t="s">
        <v>520</v>
      </c>
      <c r="D14" s="7" t="s">
        <v>532</v>
      </c>
      <c r="E14" s="7" t="s">
        <v>528</v>
      </c>
      <c r="F14" s="12">
        <v>43816</v>
      </c>
      <c r="G14" s="9">
        <v>40.5</v>
      </c>
      <c r="H14" s="6">
        <v>1</v>
      </c>
      <c r="I14" s="9">
        <v>40.5</v>
      </c>
    </row>
    <row r="15" spans="1:9" ht="14.25">
      <c r="A15" s="6">
        <v>11</v>
      </c>
      <c r="B15" s="7" t="s">
        <v>455</v>
      </c>
      <c r="C15" s="6" t="s">
        <v>520</v>
      </c>
      <c r="D15" s="7" t="s">
        <v>533</v>
      </c>
      <c r="E15" s="7" t="s">
        <v>522</v>
      </c>
      <c r="F15" s="12">
        <v>44222</v>
      </c>
      <c r="G15" s="9">
        <v>33.799999999999997</v>
      </c>
      <c r="H15" s="6">
        <v>1</v>
      </c>
      <c r="I15" s="9">
        <v>33.799999999999997</v>
      </c>
    </row>
    <row r="16" spans="1:9" ht="14.25">
      <c r="A16" s="6">
        <v>12</v>
      </c>
      <c r="B16" s="7" t="s">
        <v>379</v>
      </c>
      <c r="C16" s="6" t="s">
        <v>520</v>
      </c>
      <c r="D16" s="7" t="s">
        <v>534</v>
      </c>
      <c r="E16" s="7" t="s">
        <v>522</v>
      </c>
      <c r="F16" s="12">
        <v>44155</v>
      </c>
      <c r="G16" s="9">
        <v>280</v>
      </c>
      <c r="H16" s="6">
        <v>1</v>
      </c>
      <c r="I16" s="9">
        <v>280</v>
      </c>
    </row>
    <row r="17" spans="1:9" ht="14.25">
      <c r="A17" s="6">
        <v>13</v>
      </c>
      <c r="B17" s="7" t="s">
        <v>379</v>
      </c>
      <c r="C17" s="6" t="s">
        <v>520</v>
      </c>
      <c r="D17" s="7" t="s">
        <v>535</v>
      </c>
      <c r="E17" s="7" t="s">
        <v>528</v>
      </c>
      <c r="F17" s="12">
        <v>44728</v>
      </c>
      <c r="G17" s="9">
        <v>132</v>
      </c>
      <c r="H17" s="6">
        <v>1</v>
      </c>
      <c r="I17" s="9">
        <v>132</v>
      </c>
    </row>
    <row r="18" spans="1:9" ht="14.25">
      <c r="A18" s="6">
        <v>14</v>
      </c>
      <c r="B18" s="7" t="s">
        <v>315</v>
      </c>
      <c r="C18" s="6" t="s">
        <v>536</v>
      </c>
      <c r="D18" s="7" t="s">
        <v>537</v>
      </c>
      <c r="E18" s="7" t="s">
        <v>522</v>
      </c>
      <c r="F18" s="12">
        <v>44656</v>
      </c>
      <c r="G18" s="9">
        <v>104</v>
      </c>
      <c r="H18" s="6">
        <v>2</v>
      </c>
      <c r="I18" s="9">
        <v>52</v>
      </c>
    </row>
    <row r="19" spans="1:9" ht="14.25">
      <c r="A19" s="6">
        <v>15</v>
      </c>
      <c r="B19" s="7" t="s">
        <v>315</v>
      </c>
      <c r="C19" s="6" t="s">
        <v>520</v>
      </c>
      <c r="D19" s="7" t="s">
        <v>538</v>
      </c>
      <c r="E19" s="7" t="s">
        <v>522</v>
      </c>
      <c r="F19" s="12">
        <v>45252</v>
      </c>
      <c r="G19" s="9">
        <v>86</v>
      </c>
      <c r="H19" s="6">
        <v>1</v>
      </c>
      <c r="I19" s="9">
        <v>86</v>
      </c>
    </row>
    <row r="20" spans="1:9" ht="14.25">
      <c r="A20" s="6">
        <v>16</v>
      </c>
      <c r="B20" s="7" t="s">
        <v>315</v>
      </c>
      <c r="C20" s="6" t="s">
        <v>520</v>
      </c>
      <c r="D20" s="7" t="s">
        <v>539</v>
      </c>
      <c r="E20" s="7" t="s">
        <v>522</v>
      </c>
      <c r="F20" s="12">
        <v>45047</v>
      </c>
      <c r="G20" s="9">
        <v>1100</v>
      </c>
      <c r="H20" s="6">
        <v>2</v>
      </c>
      <c r="I20" s="9">
        <v>550</v>
      </c>
    </row>
    <row r="21" spans="1:9" ht="14.25">
      <c r="A21" s="6">
        <v>17</v>
      </c>
      <c r="B21" s="7" t="s">
        <v>315</v>
      </c>
      <c r="C21" s="6" t="s">
        <v>520</v>
      </c>
      <c r="D21" s="7" t="s">
        <v>540</v>
      </c>
      <c r="E21" s="7" t="s">
        <v>522</v>
      </c>
      <c r="F21" s="12">
        <v>45379</v>
      </c>
      <c r="G21" s="9">
        <v>100.1</v>
      </c>
      <c r="H21" s="6">
        <v>1</v>
      </c>
      <c r="I21" s="9">
        <v>100.1</v>
      </c>
    </row>
    <row r="22" spans="1:9" ht="14.25">
      <c r="A22" s="6">
        <v>18</v>
      </c>
      <c r="B22" s="7" t="s">
        <v>315</v>
      </c>
      <c r="C22" s="6" t="s">
        <v>520</v>
      </c>
      <c r="D22" s="7" t="s">
        <v>541</v>
      </c>
      <c r="E22" s="7" t="s">
        <v>522</v>
      </c>
      <c r="F22" s="12">
        <v>45604</v>
      </c>
      <c r="G22" s="9">
        <v>305</v>
      </c>
      <c r="H22" s="6">
        <v>1</v>
      </c>
      <c r="I22" s="9">
        <v>305</v>
      </c>
    </row>
    <row r="23" spans="1:9" ht="14.25">
      <c r="A23" s="6">
        <v>19</v>
      </c>
      <c r="B23" s="7" t="s">
        <v>472</v>
      </c>
      <c r="C23" s="6" t="s">
        <v>536</v>
      </c>
      <c r="D23" s="7" t="s">
        <v>542</v>
      </c>
      <c r="E23" s="7" t="s">
        <v>522</v>
      </c>
      <c r="F23" s="12">
        <v>45526</v>
      </c>
      <c r="G23" s="9">
        <v>188</v>
      </c>
      <c r="H23" s="6">
        <v>2</v>
      </c>
      <c r="I23" s="9">
        <v>94</v>
      </c>
    </row>
    <row r="24" spans="1:9" ht="14.25">
      <c r="A24" s="6">
        <v>20</v>
      </c>
      <c r="B24" s="7" t="s">
        <v>363</v>
      </c>
      <c r="C24" s="6" t="s">
        <v>536</v>
      </c>
      <c r="D24" s="7" t="s">
        <v>543</v>
      </c>
      <c r="E24" s="7" t="s">
        <v>544</v>
      </c>
      <c r="F24" s="12">
        <v>45128</v>
      </c>
      <c r="G24" s="9">
        <v>430</v>
      </c>
      <c r="H24" s="6">
        <v>2</v>
      </c>
      <c r="I24" s="9">
        <v>215</v>
      </c>
    </row>
    <row r="25" spans="1:9" ht="14.25">
      <c r="A25" s="6">
        <v>21</v>
      </c>
      <c r="B25" s="7" t="s">
        <v>363</v>
      </c>
      <c r="C25" s="6" t="s">
        <v>520</v>
      </c>
      <c r="D25" s="7" t="s">
        <v>545</v>
      </c>
      <c r="E25" s="7" t="s">
        <v>544</v>
      </c>
      <c r="F25" s="12">
        <v>45652</v>
      </c>
      <c r="G25" s="9">
        <v>325</v>
      </c>
      <c r="H25" s="6">
        <v>1</v>
      </c>
      <c r="I25" s="9">
        <v>325</v>
      </c>
    </row>
    <row r="26" spans="1:9" ht="14.25">
      <c r="A26" s="6">
        <v>22</v>
      </c>
      <c r="B26" s="7" t="s">
        <v>353</v>
      </c>
      <c r="C26" s="6" t="s">
        <v>520</v>
      </c>
      <c r="D26" s="7" t="s">
        <v>546</v>
      </c>
      <c r="E26" s="7" t="s">
        <v>522</v>
      </c>
      <c r="F26" s="12">
        <v>44259</v>
      </c>
      <c r="G26" s="9">
        <v>370</v>
      </c>
      <c r="H26" s="6">
        <v>1</v>
      </c>
      <c r="I26" s="9">
        <v>370</v>
      </c>
    </row>
    <row r="27" spans="1:9" ht="14.25">
      <c r="A27" s="6">
        <v>23</v>
      </c>
      <c r="B27" s="7" t="s">
        <v>353</v>
      </c>
      <c r="C27" s="6" t="s">
        <v>520</v>
      </c>
      <c r="D27" s="7" t="s">
        <v>547</v>
      </c>
      <c r="E27" s="7" t="s">
        <v>522</v>
      </c>
      <c r="F27" s="12">
        <v>44736</v>
      </c>
      <c r="G27" s="9">
        <v>505</v>
      </c>
      <c r="H27" s="6">
        <v>3</v>
      </c>
      <c r="I27" s="9">
        <v>168.3</v>
      </c>
    </row>
    <row r="28" spans="1:9" ht="14.25">
      <c r="A28" s="6">
        <v>24</v>
      </c>
      <c r="B28" s="7" t="s">
        <v>464</v>
      </c>
      <c r="C28" s="6" t="s">
        <v>520</v>
      </c>
      <c r="D28" s="7" t="s">
        <v>548</v>
      </c>
      <c r="E28" s="7" t="s">
        <v>522</v>
      </c>
      <c r="F28" s="12">
        <v>45548</v>
      </c>
      <c r="G28" s="9">
        <v>101</v>
      </c>
      <c r="H28" s="6">
        <v>1</v>
      </c>
      <c r="I28" s="9">
        <v>101</v>
      </c>
    </row>
    <row r="29" spans="1:9" ht="14.25">
      <c r="A29" s="6">
        <v>25</v>
      </c>
      <c r="B29" s="7" t="s">
        <v>70</v>
      </c>
      <c r="C29" s="6" t="s">
        <v>520</v>
      </c>
      <c r="D29" s="7" t="s">
        <v>549</v>
      </c>
      <c r="E29" s="7" t="s">
        <v>522</v>
      </c>
      <c r="F29" s="12">
        <v>44907</v>
      </c>
      <c r="G29" s="9">
        <v>1755</v>
      </c>
      <c r="H29" s="6">
        <v>1</v>
      </c>
      <c r="I29" s="9">
        <v>1755</v>
      </c>
    </row>
    <row r="30" spans="1:9" ht="14.25">
      <c r="A30" s="6">
        <v>26</v>
      </c>
      <c r="B30" s="7" t="s">
        <v>70</v>
      </c>
      <c r="C30" s="6" t="s">
        <v>520</v>
      </c>
      <c r="D30" s="7" t="s">
        <v>550</v>
      </c>
      <c r="E30" s="7" t="s">
        <v>522</v>
      </c>
      <c r="F30" s="12">
        <v>44732</v>
      </c>
      <c r="G30" s="9">
        <v>1405</v>
      </c>
      <c r="H30" s="6">
        <v>1</v>
      </c>
      <c r="I30" s="9">
        <v>1405</v>
      </c>
    </row>
    <row r="31" spans="1:9" ht="14.25">
      <c r="A31" s="6">
        <v>27</v>
      </c>
      <c r="B31" s="7" t="s">
        <v>70</v>
      </c>
      <c r="C31" s="6" t="s">
        <v>520</v>
      </c>
      <c r="D31" s="7" t="s">
        <v>551</v>
      </c>
      <c r="E31" s="7" t="s">
        <v>522</v>
      </c>
      <c r="F31" s="12">
        <v>44602</v>
      </c>
      <c r="G31" s="9">
        <v>1050</v>
      </c>
      <c r="H31" s="6">
        <v>1</v>
      </c>
      <c r="I31" s="9">
        <v>1050</v>
      </c>
    </row>
    <row r="32" spans="1:9" ht="14.25">
      <c r="A32" s="6">
        <v>28</v>
      </c>
      <c r="B32" s="7" t="s">
        <v>70</v>
      </c>
      <c r="C32" s="6" t="s">
        <v>520</v>
      </c>
      <c r="D32" s="7" t="s">
        <v>552</v>
      </c>
      <c r="E32" s="7" t="s">
        <v>522</v>
      </c>
      <c r="F32" s="12">
        <v>45398</v>
      </c>
      <c r="G32" s="9">
        <v>4510</v>
      </c>
      <c r="H32" s="6">
        <v>1</v>
      </c>
      <c r="I32" s="9">
        <v>4510</v>
      </c>
    </row>
    <row r="33" spans="1:9" ht="14.25">
      <c r="A33" s="6">
        <v>29</v>
      </c>
      <c r="B33" s="7" t="s">
        <v>32</v>
      </c>
      <c r="C33" s="6" t="s">
        <v>520</v>
      </c>
      <c r="D33" s="7" t="s">
        <v>553</v>
      </c>
      <c r="E33" s="7" t="s">
        <v>522</v>
      </c>
      <c r="F33" s="12">
        <v>44180</v>
      </c>
      <c r="G33" s="9">
        <v>8878</v>
      </c>
      <c r="H33" s="6">
        <v>1</v>
      </c>
      <c r="I33" s="9">
        <v>8878</v>
      </c>
    </row>
    <row r="34" spans="1:9" ht="14.25">
      <c r="A34" s="6">
        <v>30</v>
      </c>
      <c r="B34" s="7" t="s">
        <v>32</v>
      </c>
      <c r="C34" s="6" t="s">
        <v>520</v>
      </c>
      <c r="D34" s="7" t="s">
        <v>554</v>
      </c>
      <c r="E34" s="7" t="s">
        <v>522</v>
      </c>
      <c r="F34" s="12">
        <v>45294</v>
      </c>
      <c r="G34" s="9">
        <v>1401</v>
      </c>
      <c r="H34" s="6">
        <v>1</v>
      </c>
      <c r="I34" s="9">
        <v>1401</v>
      </c>
    </row>
    <row r="35" spans="1:9" ht="14.25">
      <c r="A35" s="6">
        <v>31</v>
      </c>
      <c r="B35" s="7" t="s">
        <v>362</v>
      </c>
      <c r="C35" s="6" t="s">
        <v>520</v>
      </c>
      <c r="D35" s="7" t="s">
        <v>555</v>
      </c>
      <c r="E35" s="7" t="s">
        <v>522</v>
      </c>
      <c r="F35" s="12">
        <v>45656</v>
      </c>
      <c r="G35" s="9">
        <v>333.4</v>
      </c>
      <c r="H35" s="6">
        <v>1</v>
      </c>
      <c r="I35" s="9">
        <v>333.4</v>
      </c>
    </row>
    <row r="36" spans="1:9" ht="14.25">
      <c r="A36" s="6">
        <v>32</v>
      </c>
      <c r="B36" s="7" t="s">
        <v>477</v>
      </c>
      <c r="C36" s="6" t="s">
        <v>520</v>
      </c>
      <c r="D36" s="7" t="s">
        <v>556</v>
      </c>
      <c r="E36" s="7" t="s">
        <v>522</v>
      </c>
      <c r="F36" s="12">
        <v>45588</v>
      </c>
      <c r="G36" s="9">
        <v>142.1</v>
      </c>
      <c r="H36" s="6">
        <v>2</v>
      </c>
      <c r="I36" s="9">
        <v>71</v>
      </c>
    </row>
    <row r="37" spans="1:9" ht="14.25">
      <c r="A37" s="6">
        <v>33</v>
      </c>
      <c r="B37" s="7" t="s">
        <v>266</v>
      </c>
      <c r="C37" s="6" t="s">
        <v>520</v>
      </c>
      <c r="D37" s="7" t="s">
        <v>557</v>
      </c>
      <c r="E37" s="7" t="s">
        <v>522</v>
      </c>
      <c r="F37" s="12">
        <v>43259</v>
      </c>
      <c r="G37" s="9">
        <v>22.8</v>
      </c>
      <c r="H37" s="6">
        <v>1</v>
      </c>
      <c r="I37" s="9">
        <v>22.8</v>
      </c>
    </row>
    <row r="38" spans="1:9" ht="14.25">
      <c r="A38" s="6">
        <v>34</v>
      </c>
      <c r="B38" s="7" t="s">
        <v>266</v>
      </c>
      <c r="C38" s="6" t="s">
        <v>520</v>
      </c>
      <c r="D38" s="7" t="s">
        <v>558</v>
      </c>
      <c r="E38" s="7" t="s">
        <v>522</v>
      </c>
      <c r="F38" s="12">
        <v>43497</v>
      </c>
      <c r="G38" s="9">
        <v>182</v>
      </c>
      <c r="H38" s="6">
        <v>1</v>
      </c>
      <c r="I38" s="9">
        <v>182</v>
      </c>
    </row>
    <row r="39" spans="1:9" ht="14.25">
      <c r="A39" s="6">
        <v>35</v>
      </c>
      <c r="B39" s="7" t="s">
        <v>266</v>
      </c>
      <c r="C39" s="6" t="s">
        <v>520</v>
      </c>
      <c r="D39" s="7" t="s">
        <v>559</v>
      </c>
      <c r="E39" s="7" t="s">
        <v>522</v>
      </c>
      <c r="F39" s="12">
        <v>43573</v>
      </c>
      <c r="G39" s="9">
        <v>94</v>
      </c>
      <c r="H39" s="6">
        <v>1</v>
      </c>
      <c r="I39" s="9">
        <v>94</v>
      </c>
    </row>
    <row r="40" spans="1:9" ht="14.25">
      <c r="A40" s="6">
        <v>36</v>
      </c>
      <c r="B40" s="7" t="s">
        <v>266</v>
      </c>
      <c r="C40" s="6" t="s">
        <v>536</v>
      </c>
      <c r="D40" s="7" t="s">
        <v>560</v>
      </c>
      <c r="E40" s="7" t="s">
        <v>522</v>
      </c>
      <c r="F40" s="12">
        <v>43997</v>
      </c>
      <c r="G40" s="9">
        <v>376</v>
      </c>
      <c r="H40" s="6">
        <v>2</v>
      </c>
      <c r="I40" s="9">
        <v>188</v>
      </c>
    </row>
    <row r="41" spans="1:9" ht="14.25">
      <c r="A41" s="6">
        <v>37</v>
      </c>
      <c r="B41" s="7" t="s">
        <v>266</v>
      </c>
      <c r="C41" s="6" t="s">
        <v>520</v>
      </c>
      <c r="D41" s="7" t="s">
        <v>561</v>
      </c>
      <c r="E41" s="7" t="s">
        <v>522</v>
      </c>
      <c r="F41" s="12">
        <v>44446</v>
      </c>
      <c r="G41" s="9">
        <v>1322</v>
      </c>
      <c r="H41" s="6">
        <v>2</v>
      </c>
      <c r="I41" s="9">
        <v>661</v>
      </c>
    </row>
    <row r="42" spans="1:9" ht="14.25">
      <c r="A42" s="6">
        <v>38</v>
      </c>
      <c r="B42" s="7" t="s">
        <v>266</v>
      </c>
      <c r="C42" s="6" t="s">
        <v>520</v>
      </c>
      <c r="D42" s="7" t="s">
        <v>562</v>
      </c>
      <c r="E42" s="7" t="s">
        <v>522</v>
      </c>
      <c r="F42" s="12">
        <v>44202</v>
      </c>
      <c r="G42" s="9">
        <v>330</v>
      </c>
      <c r="H42" s="6">
        <v>1</v>
      </c>
      <c r="I42" s="9">
        <v>330</v>
      </c>
    </row>
    <row r="43" spans="1:9" ht="14.25">
      <c r="A43" s="6">
        <v>39</v>
      </c>
      <c r="B43" s="7" t="s">
        <v>266</v>
      </c>
      <c r="C43" s="6" t="s">
        <v>520</v>
      </c>
      <c r="D43" s="7" t="s">
        <v>563</v>
      </c>
      <c r="E43" s="7" t="s">
        <v>522</v>
      </c>
      <c r="F43" s="12">
        <v>44223</v>
      </c>
      <c r="G43" s="9">
        <v>771</v>
      </c>
      <c r="H43" s="6">
        <v>1</v>
      </c>
      <c r="I43" s="9">
        <v>771</v>
      </c>
    </row>
    <row r="44" spans="1:9" ht="14.25">
      <c r="A44" s="6">
        <v>40</v>
      </c>
      <c r="B44" s="7" t="s">
        <v>266</v>
      </c>
      <c r="C44" s="6" t="s">
        <v>520</v>
      </c>
      <c r="D44" s="7" t="s">
        <v>564</v>
      </c>
      <c r="E44" s="7" t="s">
        <v>522</v>
      </c>
      <c r="F44" s="12">
        <v>44442</v>
      </c>
      <c r="G44" s="9">
        <v>160.5</v>
      </c>
      <c r="H44" s="6">
        <v>2</v>
      </c>
      <c r="I44" s="9">
        <v>80.2</v>
      </c>
    </row>
    <row r="45" spans="1:9" ht="14.25">
      <c r="A45" s="6">
        <v>41</v>
      </c>
      <c r="B45" s="7" t="s">
        <v>266</v>
      </c>
      <c r="C45" s="6" t="s">
        <v>520</v>
      </c>
      <c r="D45" s="7" t="s">
        <v>565</v>
      </c>
      <c r="E45" s="7" t="s">
        <v>522</v>
      </c>
      <c r="F45" s="12">
        <v>44825</v>
      </c>
      <c r="G45" s="9">
        <v>165.1</v>
      </c>
      <c r="H45" s="6">
        <v>1</v>
      </c>
      <c r="I45" s="9">
        <v>165.1</v>
      </c>
    </row>
    <row r="46" spans="1:9" ht="14.25">
      <c r="A46" s="6">
        <v>42</v>
      </c>
      <c r="B46" s="7" t="s">
        <v>266</v>
      </c>
      <c r="C46" s="6" t="s">
        <v>520</v>
      </c>
      <c r="D46" s="7" t="s">
        <v>566</v>
      </c>
      <c r="E46" s="7" t="s">
        <v>522</v>
      </c>
      <c r="F46" s="12">
        <v>45098</v>
      </c>
      <c r="G46" s="9">
        <v>102</v>
      </c>
      <c r="H46" s="6">
        <v>2</v>
      </c>
      <c r="I46" s="9">
        <v>51</v>
      </c>
    </row>
    <row r="47" spans="1:9" ht="14.25">
      <c r="A47" s="6">
        <v>43</v>
      </c>
      <c r="B47" s="7" t="s">
        <v>266</v>
      </c>
      <c r="C47" s="6" t="s">
        <v>520</v>
      </c>
      <c r="D47" s="7" t="s">
        <v>567</v>
      </c>
      <c r="E47" s="7" t="s">
        <v>522</v>
      </c>
      <c r="F47" s="12">
        <v>45474</v>
      </c>
      <c r="G47" s="9">
        <v>270</v>
      </c>
      <c r="H47" s="6">
        <v>1</v>
      </c>
      <c r="I47" s="9">
        <v>270</v>
      </c>
    </row>
    <row r="48" spans="1:9" ht="14.25">
      <c r="A48" s="6">
        <v>44</v>
      </c>
      <c r="B48" s="7" t="s">
        <v>266</v>
      </c>
      <c r="C48" s="6" t="s">
        <v>520</v>
      </c>
      <c r="D48" s="7" t="s">
        <v>568</v>
      </c>
      <c r="E48" s="7" t="s">
        <v>522</v>
      </c>
      <c r="F48" s="12">
        <v>45650</v>
      </c>
      <c r="G48" s="9">
        <v>303</v>
      </c>
      <c r="H48" s="6">
        <v>1</v>
      </c>
      <c r="I48" s="9">
        <v>303</v>
      </c>
    </row>
    <row r="49" spans="1:9" ht="14.25">
      <c r="A49" s="6">
        <v>45</v>
      </c>
      <c r="B49" s="7" t="s">
        <v>266</v>
      </c>
      <c r="C49" s="6" t="s">
        <v>520</v>
      </c>
      <c r="D49" s="7" t="s">
        <v>569</v>
      </c>
      <c r="E49" s="7" t="s">
        <v>522</v>
      </c>
      <c r="F49" s="12">
        <v>45518</v>
      </c>
      <c r="G49" s="9">
        <v>226</v>
      </c>
      <c r="H49" s="6">
        <v>2</v>
      </c>
      <c r="I49" s="9">
        <v>113</v>
      </c>
    </row>
    <row r="50" spans="1:9" ht="14.25">
      <c r="A50" s="6">
        <v>46</v>
      </c>
      <c r="B50" s="7" t="s">
        <v>237</v>
      </c>
      <c r="C50" s="6" t="s">
        <v>520</v>
      </c>
      <c r="D50" s="7" t="s">
        <v>570</v>
      </c>
      <c r="E50" s="7" t="s">
        <v>522</v>
      </c>
      <c r="F50" s="12">
        <v>44482</v>
      </c>
      <c r="G50" s="9">
        <v>435</v>
      </c>
      <c r="H50" s="6">
        <v>1</v>
      </c>
      <c r="I50" s="9">
        <v>435</v>
      </c>
    </row>
    <row r="51" spans="1:9" ht="14.25">
      <c r="A51" s="6">
        <v>47</v>
      </c>
      <c r="B51" s="7" t="s">
        <v>237</v>
      </c>
      <c r="C51" s="6" t="s">
        <v>520</v>
      </c>
      <c r="D51" s="7" t="s">
        <v>571</v>
      </c>
      <c r="E51" s="7" t="s">
        <v>522</v>
      </c>
      <c r="F51" s="12">
        <v>44348</v>
      </c>
      <c r="G51" s="9">
        <v>301</v>
      </c>
      <c r="H51" s="6">
        <v>1</v>
      </c>
      <c r="I51" s="9">
        <v>301</v>
      </c>
    </row>
    <row r="52" spans="1:9" ht="14.25">
      <c r="A52" s="6">
        <v>48</v>
      </c>
      <c r="B52" s="7" t="s">
        <v>237</v>
      </c>
      <c r="C52" s="6" t="s">
        <v>520</v>
      </c>
      <c r="D52" s="7" t="s">
        <v>572</v>
      </c>
      <c r="E52" s="7" t="s">
        <v>522</v>
      </c>
      <c r="F52" s="12">
        <v>44665</v>
      </c>
      <c r="G52" s="9">
        <v>86</v>
      </c>
      <c r="H52" s="6">
        <v>1</v>
      </c>
      <c r="I52" s="9">
        <v>86</v>
      </c>
    </row>
    <row r="53" spans="1:9" ht="14.25">
      <c r="A53" s="6">
        <v>49</v>
      </c>
      <c r="B53" s="7" t="s">
        <v>237</v>
      </c>
      <c r="C53" s="6" t="s">
        <v>520</v>
      </c>
      <c r="D53" s="7" t="s">
        <v>573</v>
      </c>
      <c r="E53" s="7" t="s">
        <v>522</v>
      </c>
      <c r="F53" s="12">
        <v>45035</v>
      </c>
      <c r="G53" s="9">
        <v>1042</v>
      </c>
      <c r="H53" s="6">
        <v>2</v>
      </c>
      <c r="I53" s="9">
        <v>521</v>
      </c>
    </row>
    <row r="54" spans="1:9" ht="14.25">
      <c r="A54" s="6">
        <v>50</v>
      </c>
      <c r="B54" s="7" t="s">
        <v>237</v>
      </c>
      <c r="C54" s="6" t="s">
        <v>520</v>
      </c>
      <c r="D54" s="7" t="s">
        <v>574</v>
      </c>
      <c r="E54" s="7" t="s">
        <v>522</v>
      </c>
      <c r="F54" s="12">
        <v>45443</v>
      </c>
      <c r="G54" s="9">
        <v>1000</v>
      </c>
      <c r="H54" s="6">
        <v>1</v>
      </c>
      <c r="I54" s="9">
        <v>1000</v>
      </c>
    </row>
    <row r="55" spans="1:9" ht="14.25">
      <c r="A55" s="6">
        <v>51</v>
      </c>
      <c r="B55" s="7" t="s">
        <v>384</v>
      </c>
      <c r="C55" s="6" t="s">
        <v>536</v>
      </c>
      <c r="D55" s="7" t="s">
        <v>575</v>
      </c>
      <c r="E55" s="7" t="s">
        <v>522</v>
      </c>
      <c r="F55" s="12">
        <v>44343</v>
      </c>
      <c r="G55" s="9">
        <v>260</v>
      </c>
      <c r="H55" s="6">
        <v>2</v>
      </c>
      <c r="I55" s="9">
        <v>130</v>
      </c>
    </row>
    <row r="56" spans="1:9" ht="14.25">
      <c r="A56" s="6">
        <v>52</v>
      </c>
      <c r="B56" s="7" t="s">
        <v>384</v>
      </c>
      <c r="C56" s="6" t="s">
        <v>536</v>
      </c>
      <c r="D56" s="7" t="s">
        <v>576</v>
      </c>
      <c r="E56" s="7" t="s">
        <v>522</v>
      </c>
      <c r="F56" s="12">
        <v>44267</v>
      </c>
      <c r="G56" s="9">
        <v>215</v>
      </c>
      <c r="H56" s="6">
        <v>2</v>
      </c>
      <c r="I56" s="9">
        <v>107.5</v>
      </c>
    </row>
    <row r="57" spans="1:9" ht="14.25">
      <c r="A57" s="6">
        <v>53</v>
      </c>
      <c r="B57" s="7" t="s">
        <v>384</v>
      </c>
      <c r="C57" s="6" t="s">
        <v>536</v>
      </c>
      <c r="D57" s="7" t="s">
        <v>577</v>
      </c>
      <c r="E57" s="7" t="s">
        <v>522</v>
      </c>
      <c r="F57" s="12">
        <v>44673</v>
      </c>
      <c r="G57" s="9">
        <v>516</v>
      </c>
      <c r="H57" s="6">
        <v>2</v>
      </c>
      <c r="I57" s="9">
        <v>258</v>
      </c>
    </row>
    <row r="58" spans="1:9" ht="14.25">
      <c r="A58" s="6">
        <v>54</v>
      </c>
      <c r="B58" s="7" t="s">
        <v>384</v>
      </c>
      <c r="C58" s="6" t="s">
        <v>536</v>
      </c>
      <c r="D58" s="7" t="s">
        <v>578</v>
      </c>
      <c r="E58" s="7" t="s">
        <v>522</v>
      </c>
      <c r="F58" s="12">
        <v>45527</v>
      </c>
      <c r="G58" s="9">
        <v>232</v>
      </c>
      <c r="H58" s="6">
        <v>2</v>
      </c>
      <c r="I58" s="9">
        <v>116</v>
      </c>
    </row>
    <row r="59" spans="1:9" ht="14.25">
      <c r="A59" s="6">
        <v>55</v>
      </c>
      <c r="B59" s="7" t="s">
        <v>373</v>
      </c>
      <c r="C59" s="6" t="s">
        <v>520</v>
      </c>
      <c r="D59" s="7" t="s">
        <v>579</v>
      </c>
      <c r="E59" s="7" t="s">
        <v>522</v>
      </c>
      <c r="F59" s="12">
        <v>43697</v>
      </c>
      <c r="G59" s="9">
        <v>400</v>
      </c>
      <c r="H59" s="6">
        <v>2</v>
      </c>
      <c r="I59" s="9">
        <v>200</v>
      </c>
    </row>
    <row r="60" spans="1:9" ht="14.25">
      <c r="A60" s="6">
        <v>56</v>
      </c>
      <c r="B60" s="7" t="s">
        <v>373</v>
      </c>
      <c r="C60" s="6" t="s">
        <v>520</v>
      </c>
      <c r="D60" s="7" t="s">
        <v>580</v>
      </c>
      <c r="E60" s="7" t="s">
        <v>522</v>
      </c>
      <c r="F60" s="12">
        <v>44095</v>
      </c>
      <c r="G60" s="9">
        <v>600</v>
      </c>
      <c r="H60" s="6">
        <v>2</v>
      </c>
      <c r="I60" s="9">
        <v>300</v>
      </c>
    </row>
    <row r="61" spans="1:9" ht="14.25">
      <c r="A61" s="6">
        <v>57</v>
      </c>
      <c r="B61" s="7" t="s">
        <v>373</v>
      </c>
      <c r="C61" s="6" t="s">
        <v>536</v>
      </c>
      <c r="D61" s="7" t="s">
        <v>581</v>
      </c>
      <c r="E61" s="7" t="s">
        <v>522</v>
      </c>
      <c r="F61" s="12">
        <v>44743</v>
      </c>
      <c r="G61" s="9">
        <v>530</v>
      </c>
      <c r="H61" s="6">
        <v>2</v>
      </c>
      <c r="I61" s="9">
        <v>265</v>
      </c>
    </row>
    <row r="62" spans="1:9" ht="14.25">
      <c r="A62" s="6">
        <v>58</v>
      </c>
      <c r="B62" s="7" t="s">
        <v>373</v>
      </c>
      <c r="C62" s="6" t="s">
        <v>536</v>
      </c>
      <c r="D62" s="7" t="s">
        <v>582</v>
      </c>
      <c r="E62" s="7" t="s">
        <v>522</v>
      </c>
      <c r="F62" s="12">
        <v>45386</v>
      </c>
      <c r="G62" s="9">
        <v>511</v>
      </c>
      <c r="H62" s="6">
        <v>2</v>
      </c>
      <c r="I62" s="9">
        <v>255.5</v>
      </c>
    </row>
    <row r="63" spans="1:9" ht="14.25">
      <c r="A63" s="6">
        <v>59</v>
      </c>
      <c r="B63" s="7" t="s">
        <v>201</v>
      </c>
      <c r="C63" s="6" t="s">
        <v>520</v>
      </c>
      <c r="D63" s="7" t="s">
        <v>583</v>
      </c>
      <c r="E63" s="7" t="s">
        <v>522</v>
      </c>
      <c r="F63" s="12">
        <v>43515</v>
      </c>
      <c r="G63" s="9">
        <v>800</v>
      </c>
      <c r="H63" s="6">
        <v>1</v>
      </c>
      <c r="I63" s="9">
        <v>800</v>
      </c>
    </row>
    <row r="64" spans="1:9" ht="14.25">
      <c r="A64" s="6">
        <v>60</v>
      </c>
      <c r="B64" s="7" t="s">
        <v>201</v>
      </c>
      <c r="C64" s="6" t="s">
        <v>520</v>
      </c>
      <c r="D64" s="7" t="s">
        <v>584</v>
      </c>
      <c r="E64" s="7" t="s">
        <v>522</v>
      </c>
      <c r="F64" s="12">
        <v>44245</v>
      </c>
      <c r="G64" s="9">
        <v>434.5</v>
      </c>
      <c r="H64" s="6">
        <v>1</v>
      </c>
      <c r="I64" s="9">
        <v>434.5</v>
      </c>
    </row>
    <row r="65" spans="1:9" ht="14.25">
      <c r="A65" s="6">
        <v>61</v>
      </c>
      <c r="B65" s="7" t="s">
        <v>201</v>
      </c>
      <c r="C65" s="6" t="s">
        <v>520</v>
      </c>
      <c r="D65" s="7" t="s">
        <v>585</v>
      </c>
      <c r="E65" s="7" t="s">
        <v>522</v>
      </c>
      <c r="F65" s="12">
        <v>44551</v>
      </c>
      <c r="G65" s="9">
        <v>202</v>
      </c>
      <c r="H65" s="6">
        <v>1</v>
      </c>
      <c r="I65" s="9">
        <v>202</v>
      </c>
    </row>
    <row r="66" spans="1:9" ht="14.25">
      <c r="A66" s="6">
        <v>62</v>
      </c>
      <c r="B66" s="7" t="s">
        <v>201</v>
      </c>
      <c r="C66" s="6" t="s">
        <v>520</v>
      </c>
      <c r="D66" s="7" t="s">
        <v>586</v>
      </c>
      <c r="E66" s="7" t="s">
        <v>522</v>
      </c>
      <c r="F66" s="12">
        <v>45072</v>
      </c>
      <c r="G66" s="9">
        <v>1199</v>
      </c>
      <c r="H66" s="6">
        <v>1</v>
      </c>
      <c r="I66" s="9">
        <v>1199</v>
      </c>
    </row>
    <row r="67" spans="1:9" ht="14.25">
      <c r="A67" s="6">
        <v>63</v>
      </c>
      <c r="B67" s="7" t="s">
        <v>300</v>
      </c>
      <c r="C67" s="6" t="s">
        <v>520</v>
      </c>
      <c r="D67" s="7" t="s">
        <v>587</v>
      </c>
      <c r="E67" s="7" t="s">
        <v>522</v>
      </c>
      <c r="F67" s="12">
        <v>45464</v>
      </c>
      <c r="G67" s="9">
        <v>610</v>
      </c>
      <c r="H67" s="6">
        <v>1</v>
      </c>
      <c r="I67" s="9">
        <v>610</v>
      </c>
    </row>
    <row r="68" spans="1:9" ht="14.25">
      <c r="A68" s="6">
        <v>64</v>
      </c>
      <c r="B68" s="7" t="s">
        <v>361</v>
      </c>
      <c r="C68" s="6" t="s">
        <v>520</v>
      </c>
      <c r="D68" s="7" t="s">
        <v>588</v>
      </c>
      <c r="E68" s="7" t="s">
        <v>522</v>
      </c>
      <c r="F68" s="12">
        <v>45364</v>
      </c>
      <c r="G68" s="9">
        <v>335</v>
      </c>
      <c r="H68" s="6">
        <v>1</v>
      </c>
      <c r="I68" s="9">
        <v>335</v>
      </c>
    </row>
    <row r="69" spans="1:9" ht="14.25">
      <c r="A69" s="6">
        <v>65</v>
      </c>
      <c r="B69" s="7" t="s">
        <v>446</v>
      </c>
      <c r="C69" s="6" t="s">
        <v>520</v>
      </c>
      <c r="D69" s="7" t="s">
        <v>589</v>
      </c>
      <c r="E69" s="7" t="s">
        <v>522</v>
      </c>
      <c r="F69" s="12">
        <v>44796</v>
      </c>
      <c r="G69" s="9">
        <v>110.1</v>
      </c>
      <c r="H69" s="6">
        <v>1</v>
      </c>
      <c r="I69" s="9">
        <v>110.1</v>
      </c>
    </row>
    <row r="70" spans="1:9" ht="14.25">
      <c r="A70" s="6">
        <v>66</v>
      </c>
      <c r="B70" s="7" t="s">
        <v>446</v>
      </c>
      <c r="C70" s="6" t="s">
        <v>520</v>
      </c>
      <c r="D70" s="7" t="s">
        <v>590</v>
      </c>
      <c r="E70" s="7" t="s">
        <v>522</v>
      </c>
      <c r="F70" s="12">
        <v>45141</v>
      </c>
      <c r="G70" s="9">
        <v>31</v>
      </c>
      <c r="H70" s="6">
        <v>1</v>
      </c>
      <c r="I70" s="9">
        <v>31</v>
      </c>
    </row>
    <row r="71" spans="1:9" ht="14.25">
      <c r="A71" s="6">
        <v>67</v>
      </c>
      <c r="B71" s="7" t="s">
        <v>446</v>
      </c>
      <c r="C71" s="6" t="s">
        <v>520</v>
      </c>
      <c r="D71" s="7" t="s">
        <v>591</v>
      </c>
      <c r="E71" s="7" t="s">
        <v>522</v>
      </c>
      <c r="F71" s="12">
        <v>45503</v>
      </c>
      <c r="G71" s="9">
        <v>20</v>
      </c>
      <c r="H71" s="6">
        <v>1</v>
      </c>
      <c r="I71" s="9">
        <v>20</v>
      </c>
    </row>
    <row r="72" spans="1:9" ht="14.25">
      <c r="A72" s="6">
        <v>68</v>
      </c>
      <c r="B72" s="7" t="s">
        <v>149</v>
      </c>
      <c r="C72" s="6" t="s">
        <v>520</v>
      </c>
      <c r="D72" s="7" t="s">
        <v>592</v>
      </c>
      <c r="E72" s="7" t="s">
        <v>522</v>
      </c>
      <c r="F72" s="12">
        <v>43559</v>
      </c>
      <c r="G72" s="9">
        <v>200</v>
      </c>
      <c r="H72" s="6">
        <v>1</v>
      </c>
      <c r="I72" s="9">
        <v>200</v>
      </c>
    </row>
    <row r="73" spans="1:9" ht="14.25">
      <c r="A73" s="6">
        <v>69</v>
      </c>
      <c r="B73" s="7" t="s">
        <v>149</v>
      </c>
      <c r="C73" s="6" t="s">
        <v>520</v>
      </c>
      <c r="D73" s="7" t="s">
        <v>593</v>
      </c>
      <c r="E73" s="7" t="s">
        <v>522</v>
      </c>
      <c r="F73" s="12">
        <v>43924</v>
      </c>
      <c r="G73" s="9">
        <v>1110</v>
      </c>
      <c r="H73" s="6">
        <v>1</v>
      </c>
      <c r="I73" s="9">
        <v>1110</v>
      </c>
    </row>
    <row r="74" spans="1:9" ht="14.25">
      <c r="A74" s="6">
        <v>70</v>
      </c>
      <c r="B74" s="7" t="s">
        <v>149</v>
      </c>
      <c r="C74" s="6" t="s">
        <v>520</v>
      </c>
      <c r="D74" s="7" t="s">
        <v>594</v>
      </c>
      <c r="E74" s="7" t="s">
        <v>522</v>
      </c>
      <c r="F74" s="12">
        <v>44553</v>
      </c>
      <c r="G74" s="9">
        <v>1888</v>
      </c>
      <c r="H74" s="6">
        <v>1</v>
      </c>
      <c r="I74" s="9">
        <v>1888</v>
      </c>
    </row>
    <row r="75" spans="1:9" ht="14.25">
      <c r="A75" s="6">
        <v>71</v>
      </c>
      <c r="B75" s="7" t="s">
        <v>149</v>
      </c>
      <c r="C75" s="6" t="s">
        <v>520</v>
      </c>
      <c r="D75" s="7" t="s">
        <v>595</v>
      </c>
      <c r="E75" s="7" t="s">
        <v>522</v>
      </c>
      <c r="F75" s="12">
        <v>44806</v>
      </c>
      <c r="G75" s="9">
        <v>631</v>
      </c>
      <c r="H75" s="6">
        <v>1</v>
      </c>
      <c r="I75" s="9">
        <v>631</v>
      </c>
    </row>
    <row r="76" spans="1:9" ht="14.25">
      <c r="A76" s="6">
        <v>72</v>
      </c>
      <c r="B76" s="7" t="s">
        <v>149</v>
      </c>
      <c r="C76" s="6" t="s">
        <v>520</v>
      </c>
      <c r="D76" s="7" t="s">
        <v>596</v>
      </c>
      <c r="E76" s="7" t="s">
        <v>522</v>
      </c>
      <c r="F76" s="12">
        <v>45114</v>
      </c>
      <c r="G76" s="9">
        <v>1433</v>
      </c>
      <c r="H76" s="6">
        <v>1</v>
      </c>
      <c r="I76" s="9">
        <v>1433</v>
      </c>
    </row>
    <row r="77" spans="1:9" ht="14.25">
      <c r="A77" s="6">
        <v>73</v>
      </c>
      <c r="B77" s="7" t="s">
        <v>409</v>
      </c>
      <c r="C77" s="6" t="s">
        <v>520</v>
      </c>
      <c r="D77" s="7" t="s">
        <v>597</v>
      </c>
      <c r="E77" s="7" t="s">
        <v>522</v>
      </c>
      <c r="F77" s="12">
        <v>44505</v>
      </c>
      <c r="G77" s="9">
        <v>196</v>
      </c>
      <c r="H77" s="6">
        <v>1</v>
      </c>
      <c r="I77" s="9">
        <v>196</v>
      </c>
    </row>
    <row r="78" spans="1:9" ht="14.25">
      <c r="A78" s="6">
        <v>74</v>
      </c>
      <c r="B78" s="7" t="s">
        <v>409</v>
      </c>
      <c r="C78" s="6" t="s">
        <v>520</v>
      </c>
      <c r="D78" s="7" t="s">
        <v>598</v>
      </c>
      <c r="E78" s="7" t="s">
        <v>522</v>
      </c>
      <c r="F78" s="12">
        <v>44862</v>
      </c>
      <c r="G78" s="9">
        <v>206</v>
      </c>
      <c r="H78" s="6">
        <v>1</v>
      </c>
      <c r="I78" s="9">
        <v>206</v>
      </c>
    </row>
    <row r="79" spans="1:9" ht="14.25">
      <c r="A79" s="6">
        <v>75</v>
      </c>
      <c r="B79" s="7" t="s">
        <v>418</v>
      </c>
      <c r="C79" s="6" t="s">
        <v>536</v>
      </c>
      <c r="D79" s="7" t="s">
        <v>599</v>
      </c>
      <c r="E79" s="7" t="s">
        <v>522</v>
      </c>
      <c r="F79" s="12">
        <v>44617</v>
      </c>
      <c r="G79" s="9">
        <v>102</v>
      </c>
      <c r="H79" s="6">
        <v>2</v>
      </c>
      <c r="I79" s="9">
        <v>51</v>
      </c>
    </row>
    <row r="80" spans="1:9" ht="14.25">
      <c r="A80" s="6">
        <v>76</v>
      </c>
      <c r="B80" s="7" t="s">
        <v>418</v>
      </c>
      <c r="C80" s="6" t="s">
        <v>536</v>
      </c>
      <c r="D80" s="7" t="s">
        <v>600</v>
      </c>
      <c r="E80" s="7" t="s">
        <v>522</v>
      </c>
      <c r="F80" s="12">
        <v>45643</v>
      </c>
      <c r="G80" s="9">
        <v>394.5</v>
      </c>
      <c r="H80" s="6">
        <v>2</v>
      </c>
      <c r="I80" s="9">
        <v>197.2</v>
      </c>
    </row>
    <row r="81" spans="1:9" ht="14.25">
      <c r="A81" s="6">
        <v>77</v>
      </c>
      <c r="B81" s="7" t="s">
        <v>402</v>
      </c>
      <c r="C81" s="6" t="s">
        <v>520</v>
      </c>
      <c r="D81" s="7" t="s">
        <v>601</v>
      </c>
      <c r="E81" s="7" t="s">
        <v>522</v>
      </c>
      <c r="F81" s="12">
        <v>44308</v>
      </c>
      <c r="G81" s="9">
        <v>86</v>
      </c>
      <c r="H81" s="6">
        <v>2</v>
      </c>
      <c r="I81" s="9">
        <v>43</v>
      </c>
    </row>
    <row r="82" spans="1:9" ht="14.25">
      <c r="A82" s="6">
        <v>78</v>
      </c>
      <c r="B82" s="7" t="s">
        <v>402</v>
      </c>
      <c r="C82" s="6" t="s">
        <v>536</v>
      </c>
      <c r="D82" s="7" t="s">
        <v>602</v>
      </c>
      <c r="E82" s="7" t="s">
        <v>522</v>
      </c>
      <c r="F82" s="12">
        <v>44672</v>
      </c>
      <c r="G82" s="9">
        <v>202</v>
      </c>
      <c r="H82" s="6">
        <v>2</v>
      </c>
      <c r="I82" s="9">
        <v>101</v>
      </c>
    </row>
    <row r="83" spans="1:9" ht="14.25">
      <c r="A83" s="6">
        <v>79</v>
      </c>
      <c r="B83" s="7" t="s">
        <v>402</v>
      </c>
      <c r="C83" s="6" t="s">
        <v>520</v>
      </c>
      <c r="D83" s="7" t="s">
        <v>603</v>
      </c>
      <c r="E83" s="7" t="s">
        <v>522</v>
      </c>
      <c r="F83" s="12">
        <v>45399</v>
      </c>
      <c r="G83" s="9">
        <v>210</v>
      </c>
      <c r="H83" s="6">
        <v>1</v>
      </c>
      <c r="I83" s="9">
        <v>210</v>
      </c>
    </row>
    <row r="84" spans="1:9" ht="14.25">
      <c r="A84" s="6">
        <v>80</v>
      </c>
      <c r="B84" s="7" t="s">
        <v>122</v>
      </c>
      <c r="C84" s="6" t="s">
        <v>520</v>
      </c>
      <c r="D84" s="7" t="s">
        <v>604</v>
      </c>
      <c r="E84" s="7" t="s">
        <v>522</v>
      </c>
      <c r="F84" s="12">
        <v>42979</v>
      </c>
      <c r="G84" s="9">
        <v>2500</v>
      </c>
      <c r="H84" s="6">
        <v>1</v>
      </c>
      <c r="I84" s="9">
        <v>2500</v>
      </c>
    </row>
    <row r="85" spans="1:9" ht="14.25">
      <c r="A85" s="6">
        <v>81</v>
      </c>
      <c r="B85" s="7" t="s">
        <v>122</v>
      </c>
      <c r="C85" s="6" t="s">
        <v>520</v>
      </c>
      <c r="D85" s="7" t="s">
        <v>605</v>
      </c>
      <c r="E85" s="7" t="s">
        <v>522</v>
      </c>
      <c r="F85" s="12">
        <v>43861</v>
      </c>
      <c r="G85" s="9">
        <v>2385</v>
      </c>
      <c r="H85" s="6">
        <v>2</v>
      </c>
      <c r="I85" s="9">
        <v>1192.5</v>
      </c>
    </row>
    <row r="86" spans="1:9" ht="14.25">
      <c r="A86" s="6">
        <v>82</v>
      </c>
      <c r="B86" s="7" t="s">
        <v>122</v>
      </c>
      <c r="C86" s="6" t="s">
        <v>520</v>
      </c>
      <c r="D86" s="7" t="s">
        <v>606</v>
      </c>
      <c r="E86" s="7" t="s">
        <v>522</v>
      </c>
      <c r="F86" s="12">
        <v>43872</v>
      </c>
      <c r="G86" s="9">
        <v>600.1</v>
      </c>
      <c r="H86" s="6">
        <v>2</v>
      </c>
      <c r="I86" s="9">
        <v>300.10000000000002</v>
      </c>
    </row>
    <row r="87" spans="1:9" ht="14.25">
      <c r="A87" s="6">
        <v>83</v>
      </c>
      <c r="B87" s="7" t="s">
        <v>122</v>
      </c>
      <c r="C87" s="6" t="s">
        <v>520</v>
      </c>
      <c r="D87" s="7" t="s">
        <v>607</v>
      </c>
      <c r="E87" s="7" t="s">
        <v>522</v>
      </c>
      <c r="F87" s="12">
        <v>44421</v>
      </c>
      <c r="G87" s="9">
        <v>71</v>
      </c>
      <c r="H87" s="6">
        <v>1</v>
      </c>
      <c r="I87" s="9">
        <v>71</v>
      </c>
    </row>
    <row r="88" spans="1:9" ht="14.25">
      <c r="A88" s="6">
        <v>84</v>
      </c>
      <c r="B88" s="7" t="s">
        <v>122</v>
      </c>
      <c r="C88" s="6" t="s">
        <v>520</v>
      </c>
      <c r="D88" s="7" t="s">
        <v>608</v>
      </c>
      <c r="E88" s="7" t="s">
        <v>522</v>
      </c>
      <c r="F88" s="12">
        <v>44418</v>
      </c>
      <c r="G88" s="9">
        <v>300</v>
      </c>
      <c r="H88" s="6">
        <v>1</v>
      </c>
      <c r="I88" s="9">
        <v>300</v>
      </c>
    </row>
    <row r="89" spans="1:9" ht="14.25">
      <c r="A89" s="6">
        <v>85</v>
      </c>
      <c r="B89" s="7" t="s">
        <v>122</v>
      </c>
      <c r="C89" s="6" t="s">
        <v>520</v>
      </c>
      <c r="D89" s="7" t="s">
        <v>609</v>
      </c>
      <c r="E89" s="7" t="s">
        <v>522</v>
      </c>
      <c r="F89" s="12">
        <v>44781</v>
      </c>
      <c r="G89" s="9">
        <v>2505</v>
      </c>
      <c r="H89" s="6">
        <v>1</v>
      </c>
      <c r="I89" s="9">
        <v>2505</v>
      </c>
    </row>
    <row r="90" spans="1:9" ht="14.25">
      <c r="A90" s="6">
        <v>86</v>
      </c>
      <c r="B90" s="7" t="s">
        <v>122</v>
      </c>
      <c r="C90" s="6" t="s">
        <v>520</v>
      </c>
      <c r="D90" s="7" t="s">
        <v>610</v>
      </c>
      <c r="E90" s="7" t="s">
        <v>522</v>
      </c>
      <c r="F90" s="12">
        <v>45639</v>
      </c>
      <c r="G90" s="9">
        <v>2000</v>
      </c>
      <c r="H90" s="6">
        <v>1</v>
      </c>
      <c r="I90" s="9">
        <v>2000</v>
      </c>
    </row>
    <row r="91" spans="1:9" ht="14.25">
      <c r="A91" s="6">
        <v>87</v>
      </c>
      <c r="B91" s="7" t="s">
        <v>467</v>
      </c>
      <c r="C91" s="6" t="s">
        <v>520</v>
      </c>
      <c r="D91" s="7" t="s">
        <v>611</v>
      </c>
      <c r="E91" s="7" t="s">
        <v>522</v>
      </c>
      <c r="F91" s="12">
        <v>44263</v>
      </c>
      <c r="G91" s="9">
        <v>100.1</v>
      </c>
      <c r="H91" s="6">
        <v>1</v>
      </c>
      <c r="I91" s="9">
        <v>100.1</v>
      </c>
    </row>
    <row r="92" spans="1:9" ht="14.25">
      <c r="A92" s="6">
        <v>88</v>
      </c>
      <c r="B92" s="7" t="s">
        <v>339</v>
      </c>
      <c r="C92" s="6" t="s">
        <v>520</v>
      </c>
      <c r="D92" s="7" t="s">
        <v>612</v>
      </c>
      <c r="E92" s="7" t="s">
        <v>522</v>
      </c>
      <c r="F92" s="12">
        <v>43826</v>
      </c>
      <c r="G92" s="9">
        <v>428.6</v>
      </c>
      <c r="H92" s="6">
        <v>1</v>
      </c>
      <c r="I92" s="9">
        <v>428.6</v>
      </c>
    </row>
    <row r="93" spans="1:9" ht="14.25">
      <c r="A93" s="6">
        <v>89</v>
      </c>
      <c r="B93" s="7" t="s">
        <v>339</v>
      </c>
      <c r="C93" s="6" t="s">
        <v>520</v>
      </c>
      <c r="D93" s="7" t="s">
        <v>613</v>
      </c>
      <c r="E93" s="7" t="s">
        <v>522</v>
      </c>
      <c r="F93" s="12">
        <v>44666</v>
      </c>
      <c r="G93" s="9">
        <v>500</v>
      </c>
      <c r="H93" s="6">
        <v>1</v>
      </c>
      <c r="I93" s="9">
        <v>500</v>
      </c>
    </row>
    <row r="94" spans="1:9" ht="14.25">
      <c r="A94" s="6">
        <v>90</v>
      </c>
      <c r="B94" s="7" t="s">
        <v>271</v>
      </c>
      <c r="C94" s="6" t="s">
        <v>520</v>
      </c>
      <c r="D94" s="7" t="s">
        <v>614</v>
      </c>
      <c r="E94" s="7" t="s">
        <v>522</v>
      </c>
      <c r="F94" s="12">
        <v>43935</v>
      </c>
      <c r="G94" s="9">
        <v>371</v>
      </c>
      <c r="H94" s="6">
        <v>1</v>
      </c>
      <c r="I94" s="9">
        <v>371</v>
      </c>
    </row>
    <row r="95" spans="1:9" ht="14.25">
      <c r="A95" s="6">
        <v>91</v>
      </c>
      <c r="B95" s="7" t="s">
        <v>271</v>
      </c>
      <c r="C95" s="6" t="s">
        <v>536</v>
      </c>
      <c r="D95" s="7" t="s">
        <v>615</v>
      </c>
      <c r="E95" s="7" t="s">
        <v>522</v>
      </c>
      <c r="F95" s="12">
        <v>45407</v>
      </c>
      <c r="G95" s="9">
        <v>1530</v>
      </c>
      <c r="H95" s="6">
        <v>2</v>
      </c>
      <c r="I95" s="9">
        <v>765</v>
      </c>
    </row>
    <row r="96" spans="1:9" ht="14.25">
      <c r="A96" s="6">
        <v>92</v>
      </c>
      <c r="B96" s="7" t="s">
        <v>395</v>
      </c>
      <c r="C96" s="6" t="s">
        <v>520</v>
      </c>
      <c r="D96" s="7" t="s">
        <v>616</v>
      </c>
      <c r="E96" s="7" t="s">
        <v>522</v>
      </c>
      <c r="F96" s="12">
        <v>44470</v>
      </c>
      <c r="G96" s="9">
        <v>224</v>
      </c>
      <c r="H96" s="6">
        <v>1</v>
      </c>
      <c r="I96" s="9">
        <v>224</v>
      </c>
    </row>
    <row r="97" spans="1:9" ht="14.25">
      <c r="A97" s="6">
        <v>93</v>
      </c>
      <c r="B97" s="7" t="s">
        <v>395</v>
      </c>
      <c r="C97" s="6" t="s">
        <v>520</v>
      </c>
      <c r="D97" s="7" t="s">
        <v>617</v>
      </c>
      <c r="E97" s="7" t="s">
        <v>522</v>
      </c>
      <c r="F97" s="12">
        <v>44796</v>
      </c>
      <c r="G97" s="9">
        <v>96</v>
      </c>
      <c r="H97" s="6">
        <v>1</v>
      </c>
      <c r="I97" s="9">
        <v>96</v>
      </c>
    </row>
    <row r="98" spans="1:9" ht="14.25">
      <c r="A98" s="6">
        <v>94</v>
      </c>
      <c r="B98" s="7" t="s">
        <v>440</v>
      </c>
      <c r="C98" s="6" t="s">
        <v>520</v>
      </c>
      <c r="D98" s="7" t="s">
        <v>618</v>
      </c>
      <c r="E98" s="7" t="s">
        <v>522</v>
      </c>
      <c r="F98" s="12">
        <v>44624</v>
      </c>
      <c r="G98" s="9">
        <v>251</v>
      </c>
      <c r="H98" s="6">
        <v>2</v>
      </c>
      <c r="I98" s="9">
        <v>125.5</v>
      </c>
    </row>
    <row r="99" spans="1:9" ht="14.25">
      <c r="A99" s="6">
        <v>95</v>
      </c>
      <c r="B99" s="7" t="s">
        <v>456</v>
      </c>
      <c r="C99" s="6" t="s">
        <v>536</v>
      </c>
      <c r="D99" s="7" t="s">
        <v>619</v>
      </c>
      <c r="E99" s="7" t="s">
        <v>522</v>
      </c>
      <c r="F99" s="12">
        <v>43537</v>
      </c>
      <c r="G99" s="9">
        <v>211</v>
      </c>
      <c r="H99" s="6">
        <v>2</v>
      </c>
      <c r="I99" s="9">
        <v>105.5</v>
      </c>
    </row>
    <row r="100" spans="1:9" ht="14.25">
      <c r="A100" s="6">
        <v>96</v>
      </c>
      <c r="B100" s="7" t="s">
        <v>456</v>
      </c>
      <c r="C100" s="6" t="s">
        <v>520</v>
      </c>
      <c r="D100" s="7" t="s">
        <v>620</v>
      </c>
      <c r="E100" s="7" t="s">
        <v>522</v>
      </c>
      <c r="F100" s="12">
        <v>44888</v>
      </c>
      <c r="G100" s="9">
        <v>105</v>
      </c>
      <c r="H100" s="6">
        <v>1</v>
      </c>
      <c r="I100" s="9">
        <v>105</v>
      </c>
    </row>
    <row r="101" spans="1:9" ht="14.25">
      <c r="A101" s="6">
        <v>97</v>
      </c>
      <c r="B101" s="7" t="s">
        <v>205</v>
      </c>
      <c r="C101" s="6" t="s">
        <v>520</v>
      </c>
      <c r="D101" s="7" t="s">
        <v>621</v>
      </c>
      <c r="E101" s="7" t="s">
        <v>522</v>
      </c>
      <c r="F101" s="12">
        <v>44599</v>
      </c>
      <c r="G101" s="9">
        <v>430</v>
      </c>
      <c r="H101" s="6">
        <v>1</v>
      </c>
      <c r="I101" s="9">
        <v>430</v>
      </c>
    </row>
    <row r="102" spans="1:9" ht="14.25">
      <c r="A102" s="6">
        <v>98</v>
      </c>
      <c r="B102" s="7" t="s">
        <v>205</v>
      </c>
      <c r="C102" s="6" t="s">
        <v>536</v>
      </c>
      <c r="D102" s="7" t="s">
        <v>622</v>
      </c>
      <c r="E102" s="7" t="s">
        <v>522</v>
      </c>
      <c r="F102" s="12">
        <v>45057</v>
      </c>
      <c r="G102" s="9">
        <v>2250</v>
      </c>
      <c r="H102" s="6">
        <v>2</v>
      </c>
      <c r="I102" s="9">
        <v>1125</v>
      </c>
    </row>
    <row r="103" spans="1:9" ht="14.25">
      <c r="A103" s="6">
        <v>99</v>
      </c>
      <c r="B103" s="7" t="s">
        <v>205</v>
      </c>
      <c r="C103" s="6" t="s">
        <v>536</v>
      </c>
      <c r="D103" s="7" t="s">
        <v>623</v>
      </c>
      <c r="E103" s="7" t="s">
        <v>522</v>
      </c>
      <c r="F103" s="12">
        <v>45526</v>
      </c>
      <c r="G103" s="9">
        <v>2100</v>
      </c>
      <c r="H103" s="6">
        <v>2</v>
      </c>
      <c r="I103" s="9">
        <v>1050</v>
      </c>
    </row>
    <row r="104" spans="1:9" ht="14.25">
      <c r="A104" s="6">
        <v>100</v>
      </c>
      <c r="B104" s="7" t="s">
        <v>471</v>
      </c>
      <c r="C104" s="6" t="s">
        <v>520</v>
      </c>
      <c r="D104" s="7" t="s">
        <v>624</v>
      </c>
      <c r="E104" s="7" t="s">
        <v>528</v>
      </c>
      <c r="F104" s="12">
        <v>45629</v>
      </c>
      <c r="G104" s="9">
        <v>96</v>
      </c>
      <c r="H104" s="6">
        <v>1</v>
      </c>
      <c r="I104" s="9">
        <v>96</v>
      </c>
    </row>
    <row r="105" spans="1:9" ht="14.25">
      <c r="A105" s="6">
        <v>101</v>
      </c>
      <c r="B105" s="7" t="s">
        <v>471</v>
      </c>
      <c r="C105" s="6" t="s">
        <v>520</v>
      </c>
      <c r="D105" s="7" t="s">
        <v>625</v>
      </c>
      <c r="E105" s="7" t="s">
        <v>522</v>
      </c>
      <c r="F105" s="12">
        <v>45631</v>
      </c>
      <c r="G105" s="9">
        <v>50.5</v>
      </c>
      <c r="H105" s="6">
        <v>1</v>
      </c>
      <c r="I105" s="9">
        <v>50.5</v>
      </c>
    </row>
    <row r="106" spans="1:9" ht="14.25">
      <c r="A106" s="6">
        <v>102</v>
      </c>
      <c r="B106" s="7" t="s">
        <v>84</v>
      </c>
      <c r="C106" s="6" t="s">
        <v>536</v>
      </c>
      <c r="D106" s="7" t="s">
        <v>626</v>
      </c>
      <c r="E106" s="7" t="s">
        <v>522</v>
      </c>
      <c r="F106" s="12">
        <v>45316</v>
      </c>
      <c r="G106" s="9">
        <v>7459</v>
      </c>
      <c r="H106" s="6">
        <v>2</v>
      </c>
      <c r="I106" s="9">
        <v>3729.5</v>
      </c>
    </row>
    <row r="107" spans="1:9" ht="14.25">
      <c r="A107" s="6">
        <v>103</v>
      </c>
      <c r="B107" s="7" t="s">
        <v>48</v>
      </c>
      <c r="C107" s="6" t="s">
        <v>520</v>
      </c>
      <c r="D107" s="7" t="s">
        <v>627</v>
      </c>
      <c r="E107" s="7" t="s">
        <v>522</v>
      </c>
      <c r="F107" s="12">
        <v>42793</v>
      </c>
      <c r="G107" s="9">
        <v>4806.1000000000004</v>
      </c>
      <c r="H107" s="6">
        <v>1</v>
      </c>
      <c r="I107" s="9">
        <v>4806.1000000000004</v>
      </c>
    </row>
    <row r="108" spans="1:9" ht="14.25">
      <c r="A108" s="6">
        <v>104</v>
      </c>
      <c r="B108" s="7" t="s">
        <v>48</v>
      </c>
      <c r="C108" s="6" t="s">
        <v>520</v>
      </c>
      <c r="D108" s="7" t="s">
        <v>628</v>
      </c>
      <c r="E108" s="7" t="s">
        <v>522</v>
      </c>
      <c r="F108" s="12">
        <v>43992</v>
      </c>
      <c r="G108" s="9">
        <v>6285.7</v>
      </c>
      <c r="H108" s="6">
        <v>1</v>
      </c>
      <c r="I108" s="9">
        <v>6285.7</v>
      </c>
    </row>
    <row r="109" spans="1:9" ht="14.25">
      <c r="A109" s="6">
        <v>105</v>
      </c>
      <c r="B109" s="7" t="s">
        <v>48</v>
      </c>
      <c r="C109" s="6" t="s">
        <v>520</v>
      </c>
      <c r="D109" s="7" t="s">
        <v>629</v>
      </c>
      <c r="E109" s="7" t="s">
        <v>522</v>
      </c>
      <c r="F109" s="12">
        <v>44760</v>
      </c>
      <c r="G109" s="9">
        <v>1053</v>
      </c>
      <c r="H109" s="6">
        <v>3</v>
      </c>
      <c r="I109" s="9">
        <v>351</v>
      </c>
    </row>
    <row r="110" spans="1:9" ht="14.25">
      <c r="A110" s="6">
        <v>106</v>
      </c>
      <c r="B110" s="7" t="s">
        <v>48</v>
      </c>
      <c r="C110" s="6" t="s">
        <v>520</v>
      </c>
      <c r="D110" s="7" t="s">
        <v>626</v>
      </c>
      <c r="E110" s="7" t="s">
        <v>522</v>
      </c>
      <c r="F110" s="12">
        <v>45316</v>
      </c>
      <c r="G110" s="9">
        <v>7459</v>
      </c>
      <c r="H110" s="6">
        <v>2</v>
      </c>
      <c r="I110" s="9">
        <v>3729.5</v>
      </c>
    </row>
    <row r="111" spans="1:9" ht="14.25">
      <c r="A111" s="6">
        <v>107</v>
      </c>
      <c r="B111" s="7" t="s">
        <v>434</v>
      </c>
      <c r="C111" s="6" t="s">
        <v>520</v>
      </c>
      <c r="D111" s="7" t="s">
        <v>630</v>
      </c>
      <c r="E111" s="7" t="s">
        <v>528</v>
      </c>
      <c r="F111" s="12">
        <v>44175</v>
      </c>
      <c r="G111" s="9">
        <v>25.2</v>
      </c>
      <c r="H111" s="6">
        <v>1</v>
      </c>
      <c r="I111" s="9">
        <v>25.2</v>
      </c>
    </row>
    <row r="112" spans="1:9" ht="14.25">
      <c r="A112" s="6">
        <v>108</v>
      </c>
      <c r="B112" s="7" t="s">
        <v>434</v>
      </c>
      <c r="C112" s="6" t="s">
        <v>520</v>
      </c>
      <c r="D112" s="7" t="s">
        <v>631</v>
      </c>
      <c r="E112" s="7" t="s">
        <v>522</v>
      </c>
      <c r="F112" s="12">
        <v>44474</v>
      </c>
      <c r="G112" s="9">
        <v>73.5</v>
      </c>
      <c r="H112" s="6">
        <v>1</v>
      </c>
      <c r="I112" s="9">
        <v>73.5</v>
      </c>
    </row>
    <row r="113" spans="1:9" ht="14.25">
      <c r="A113" s="6">
        <v>109</v>
      </c>
      <c r="B113" s="7" t="s">
        <v>434</v>
      </c>
      <c r="C113" s="6" t="s">
        <v>536</v>
      </c>
      <c r="D113" s="7" t="s">
        <v>632</v>
      </c>
      <c r="E113" s="7" t="s">
        <v>528</v>
      </c>
      <c r="F113" s="12">
        <v>44439</v>
      </c>
      <c r="G113" s="9">
        <v>86</v>
      </c>
      <c r="H113" s="6">
        <v>2</v>
      </c>
      <c r="I113" s="9">
        <v>43</v>
      </c>
    </row>
    <row r="114" spans="1:9" ht="14.25">
      <c r="A114" s="6">
        <v>110</v>
      </c>
      <c r="B114" s="7" t="s">
        <v>434</v>
      </c>
      <c r="C114" s="6" t="s">
        <v>520</v>
      </c>
      <c r="D114" s="7" t="s">
        <v>633</v>
      </c>
      <c r="E114" s="7" t="s">
        <v>522</v>
      </c>
      <c r="F114" s="12">
        <v>44627</v>
      </c>
      <c r="G114" s="9">
        <v>140</v>
      </c>
      <c r="H114" s="6">
        <v>1</v>
      </c>
      <c r="I114" s="9">
        <v>140</v>
      </c>
    </row>
    <row r="115" spans="1:9" ht="14.25">
      <c r="A115" s="6">
        <v>111</v>
      </c>
      <c r="B115" s="7" t="s">
        <v>434</v>
      </c>
      <c r="C115" s="6" t="s">
        <v>520</v>
      </c>
      <c r="D115" s="7" t="s">
        <v>634</v>
      </c>
      <c r="E115" s="7" t="s">
        <v>522</v>
      </c>
      <c r="F115" s="12">
        <v>45107</v>
      </c>
      <c r="G115" s="9">
        <v>90.2</v>
      </c>
      <c r="H115" s="6">
        <v>1</v>
      </c>
      <c r="I115" s="9">
        <v>90.2</v>
      </c>
    </row>
    <row r="116" spans="1:9" ht="14.25">
      <c r="A116" s="6">
        <v>112</v>
      </c>
      <c r="B116" s="7" t="s">
        <v>420</v>
      </c>
      <c r="C116" s="6" t="s">
        <v>520</v>
      </c>
      <c r="D116" s="7" t="s">
        <v>560</v>
      </c>
      <c r="E116" s="7" t="s">
        <v>522</v>
      </c>
      <c r="F116" s="12">
        <v>43997</v>
      </c>
      <c r="G116" s="9">
        <v>376</v>
      </c>
      <c r="H116" s="6">
        <v>2</v>
      </c>
      <c r="I116" s="9">
        <v>188</v>
      </c>
    </row>
    <row r="117" spans="1:9" ht="14.25">
      <c r="A117" s="6">
        <v>113</v>
      </c>
      <c r="B117" s="7" t="s">
        <v>420</v>
      </c>
      <c r="C117" s="6" t="s">
        <v>520</v>
      </c>
      <c r="D117" s="7" t="s">
        <v>635</v>
      </c>
      <c r="E117" s="7" t="s">
        <v>522</v>
      </c>
      <c r="F117" s="12">
        <v>44477</v>
      </c>
      <c r="G117" s="9">
        <v>54</v>
      </c>
      <c r="H117" s="6">
        <v>1</v>
      </c>
      <c r="I117" s="9">
        <v>54</v>
      </c>
    </row>
    <row r="118" spans="1:9" ht="14.25">
      <c r="A118" s="6">
        <v>114</v>
      </c>
      <c r="B118" s="7" t="s">
        <v>347</v>
      </c>
      <c r="C118" s="6" t="s">
        <v>536</v>
      </c>
      <c r="D118" s="7" t="s">
        <v>636</v>
      </c>
      <c r="E118" s="7" t="s">
        <v>522</v>
      </c>
      <c r="F118" s="12">
        <v>44034</v>
      </c>
      <c r="G118" s="9">
        <v>83</v>
      </c>
      <c r="H118" s="6">
        <v>2</v>
      </c>
      <c r="I118" s="9">
        <v>41.5</v>
      </c>
    </row>
    <row r="119" spans="1:9" ht="14.25">
      <c r="A119" s="6">
        <v>115</v>
      </c>
      <c r="B119" s="7" t="s">
        <v>347</v>
      </c>
      <c r="C119" s="6" t="s">
        <v>520</v>
      </c>
      <c r="D119" s="7" t="s">
        <v>637</v>
      </c>
      <c r="E119" s="7" t="s">
        <v>522</v>
      </c>
      <c r="F119" s="12">
        <v>44358</v>
      </c>
      <c r="G119" s="9">
        <v>441</v>
      </c>
      <c r="H119" s="6">
        <v>1</v>
      </c>
      <c r="I119" s="9">
        <v>441</v>
      </c>
    </row>
    <row r="120" spans="1:9" ht="14.25">
      <c r="A120" s="6">
        <v>116</v>
      </c>
      <c r="B120" s="7" t="s">
        <v>347</v>
      </c>
      <c r="C120" s="6" t="s">
        <v>536</v>
      </c>
      <c r="D120" s="7" t="s">
        <v>638</v>
      </c>
      <c r="E120" s="7" t="s">
        <v>528</v>
      </c>
      <c r="F120" s="12">
        <v>44447</v>
      </c>
      <c r="G120" s="9">
        <v>120</v>
      </c>
      <c r="H120" s="6">
        <v>2</v>
      </c>
      <c r="I120" s="9">
        <v>60</v>
      </c>
    </row>
    <row r="121" spans="1:9" ht="14.25">
      <c r="A121" s="6">
        <v>117</v>
      </c>
      <c r="B121" s="7" t="s">
        <v>192</v>
      </c>
      <c r="C121" s="6" t="s">
        <v>520</v>
      </c>
      <c r="D121" s="7" t="s">
        <v>639</v>
      </c>
      <c r="E121" s="7" t="s">
        <v>522</v>
      </c>
      <c r="F121" s="12">
        <v>44475</v>
      </c>
      <c r="G121" s="9">
        <v>601</v>
      </c>
      <c r="H121" s="6">
        <v>1</v>
      </c>
      <c r="I121" s="9">
        <v>601</v>
      </c>
    </row>
    <row r="122" spans="1:9" ht="14.25">
      <c r="A122" s="6">
        <v>118</v>
      </c>
      <c r="B122" s="7" t="s">
        <v>192</v>
      </c>
      <c r="C122" s="6" t="s">
        <v>520</v>
      </c>
      <c r="D122" s="7" t="s">
        <v>640</v>
      </c>
      <c r="E122" s="7" t="s">
        <v>522</v>
      </c>
      <c r="F122" s="12">
        <v>44664</v>
      </c>
      <c r="G122" s="9">
        <v>700</v>
      </c>
      <c r="H122" s="6">
        <v>1</v>
      </c>
      <c r="I122" s="9">
        <v>700</v>
      </c>
    </row>
    <row r="123" spans="1:9" ht="14.25">
      <c r="A123" s="6">
        <v>119</v>
      </c>
      <c r="B123" s="7" t="s">
        <v>192</v>
      </c>
      <c r="C123" s="6" t="s">
        <v>520</v>
      </c>
      <c r="D123" s="7" t="s">
        <v>641</v>
      </c>
      <c r="E123" s="7" t="s">
        <v>522</v>
      </c>
      <c r="F123" s="12">
        <v>45349</v>
      </c>
      <c r="G123" s="9">
        <v>1251</v>
      </c>
      <c r="H123" s="6">
        <v>1</v>
      </c>
      <c r="I123" s="9">
        <v>1251</v>
      </c>
    </row>
    <row r="124" spans="1:9" ht="14.25">
      <c r="A124" s="6">
        <v>120</v>
      </c>
      <c r="B124" s="7" t="s">
        <v>372</v>
      </c>
      <c r="C124" s="6" t="s">
        <v>536</v>
      </c>
      <c r="D124" s="7" t="s">
        <v>642</v>
      </c>
      <c r="E124" s="7" t="s">
        <v>522</v>
      </c>
      <c r="F124" s="12">
        <v>45239</v>
      </c>
      <c r="G124" s="9">
        <v>600</v>
      </c>
      <c r="H124" s="6">
        <v>2</v>
      </c>
      <c r="I124" s="9">
        <v>300</v>
      </c>
    </row>
    <row r="125" spans="1:9" ht="14.25">
      <c r="A125" s="6">
        <v>121</v>
      </c>
      <c r="B125" s="7" t="s">
        <v>359</v>
      </c>
      <c r="C125" s="6" t="s">
        <v>520</v>
      </c>
      <c r="D125" s="7" t="s">
        <v>643</v>
      </c>
      <c r="E125" s="7" t="s">
        <v>522</v>
      </c>
      <c r="F125" s="12">
        <v>42573</v>
      </c>
      <c r="G125" s="9">
        <v>83</v>
      </c>
      <c r="H125" s="6">
        <v>1</v>
      </c>
      <c r="I125" s="9">
        <v>83</v>
      </c>
    </row>
    <row r="126" spans="1:9" ht="14.25">
      <c r="A126" s="6">
        <v>122</v>
      </c>
      <c r="B126" s="7" t="s">
        <v>359</v>
      </c>
      <c r="C126" s="6" t="s">
        <v>520</v>
      </c>
      <c r="D126" s="7" t="s">
        <v>644</v>
      </c>
      <c r="E126" s="7" t="s">
        <v>522</v>
      </c>
      <c r="F126" s="12">
        <v>43284</v>
      </c>
      <c r="G126" s="9">
        <v>100.3</v>
      </c>
      <c r="H126" s="6">
        <v>1</v>
      </c>
      <c r="I126" s="9">
        <v>100.3</v>
      </c>
    </row>
    <row r="127" spans="1:9" ht="14.25">
      <c r="A127" s="6">
        <v>123</v>
      </c>
      <c r="B127" s="7" t="s">
        <v>359</v>
      </c>
      <c r="C127" s="6" t="s">
        <v>520</v>
      </c>
      <c r="D127" s="7" t="s">
        <v>645</v>
      </c>
      <c r="E127" s="7" t="s">
        <v>528</v>
      </c>
      <c r="F127" s="12">
        <v>43775</v>
      </c>
      <c r="G127" s="9">
        <v>70.3</v>
      </c>
      <c r="H127" s="6">
        <v>1</v>
      </c>
      <c r="I127" s="9">
        <v>70.3</v>
      </c>
    </row>
    <row r="128" spans="1:9" ht="14.25">
      <c r="A128" s="6">
        <v>124</v>
      </c>
      <c r="B128" s="7" t="s">
        <v>359</v>
      </c>
      <c r="C128" s="6" t="s">
        <v>520</v>
      </c>
      <c r="D128" s="7" t="s">
        <v>646</v>
      </c>
      <c r="E128" s="7" t="s">
        <v>522</v>
      </c>
      <c r="F128" s="12">
        <v>43993</v>
      </c>
      <c r="G128" s="9">
        <v>345</v>
      </c>
      <c r="H128" s="6">
        <v>1</v>
      </c>
      <c r="I128" s="9">
        <v>345</v>
      </c>
    </row>
    <row r="129" spans="1:9" ht="14.25">
      <c r="A129" s="6">
        <v>125</v>
      </c>
      <c r="B129" s="7" t="s">
        <v>359</v>
      </c>
      <c r="C129" s="6" t="s">
        <v>520</v>
      </c>
      <c r="D129" s="7" t="s">
        <v>647</v>
      </c>
      <c r="E129" s="7" t="s">
        <v>528</v>
      </c>
      <c r="F129" s="12">
        <v>44453</v>
      </c>
      <c r="G129" s="9">
        <v>91.5</v>
      </c>
      <c r="H129" s="6">
        <v>1</v>
      </c>
      <c r="I129" s="9">
        <v>91.5</v>
      </c>
    </row>
    <row r="130" spans="1:9" ht="14.25">
      <c r="A130" s="6">
        <v>126</v>
      </c>
      <c r="B130" s="7" t="s">
        <v>492</v>
      </c>
      <c r="C130" s="6" t="s">
        <v>520</v>
      </c>
      <c r="D130" s="7" t="s">
        <v>648</v>
      </c>
      <c r="E130" s="7" t="s">
        <v>522</v>
      </c>
      <c r="F130" s="12">
        <v>45646</v>
      </c>
      <c r="G130" s="9">
        <v>51</v>
      </c>
      <c r="H130" s="6">
        <v>1</v>
      </c>
      <c r="I130" s="9">
        <v>51</v>
      </c>
    </row>
    <row r="131" spans="1:9" ht="14.25">
      <c r="A131" s="6">
        <v>127</v>
      </c>
      <c r="B131" s="7" t="s">
        <v>175</v>
      </c>
      <c r="C131" s="6" t="s">
        <v>520</v>
      </c>
      <c r="D131" s="7" t="s">
        <v>649</v>
      </c>
      <c r="E131" s="7" t="s">
        <v>522</v>
      </c>
      <c r="F131" s="12">
        <v>45589</v>
      </c>
      <c r="G131" s="9">
        <v>1502</v>
      </c>
      <c r="H131" s="6">
        <v>1</v>
      </c>
      <c r="I131" s="9">
        <v>1502</v>
      </c>
    </row>
    <row r="132" spans="1:9" ht="14.25">
      <c r="A132" s="6">
        <v>128</v>
      </c>
      <c r="B132" s="7" t="s">
        <v>357</v>
      </c>
      <c r="C132" s="6" t="s">
        <v>536</v>
      </c>
      <c r="D132" s="7" t="s">
        <v>650</v>
      </c>
      <c r="E132" s="7" t="s">
        <v>522</v>
      </c>
      <c r="F132" s="12">
        <v>44162</v>
      </c>
      <c r="G132" s="9">
        <v>702</v>
      </c>
      <c r="H132" s="6">
        <v>2</v>
      </c>
      <c r="I132" s="9">
        <v>351</v>
      </c>
    </row>
    <row r="133" spans="1:9" ht="14.25">
      <c r="A133" s="6">
        <v>129</v>
      </c>
      <c r="B133" s="7" t="s">
        <v>357</v>
      </c>
      <c r="C133" s="6" t="s">
        <v>536</v>
      </c>
      <c r="D133" s="7" t="s">
        <v>651</v>
      </c>
      <c r="E133" s="7" t="s">
        <v>522</v>
      </c>
      <c r="F133" s="12">
        <v>44075</v>
      </c>
      <c r="G133" s="9">
        <v>587</v>
      </c>
      <c r="H133" s="6">
        <v>2</v>
      </c>
      <c r="I133" s="9">
        <v>293.5</v>
      </c>
    </row>
    <row r="134" spans="1:9" ht="14.25">
      <c r="A134" s="6">
        <v>130</v>
      </c>
      <c r="B134" s="7" t="s">
        <v>357</v>
      </c>
      <c r="C134" s="6" t="s">
        <v>520</v>
      </c>
      <c r="D134" s="7" t="s">
        <v>652</v>
      </c>
      <c r="E134" s="7" t="s">
        <v>522</v>
      </c>
      <c r="F134" s="12">
        <v>45027</v>
      </c>
      <c r="G134" s="9">
        <v>101</v>
      </c>
      <c r="H134" s="6">
        <v>1</v>
      </c>
      <c r="I134" s="9">
        <v>101</v>
      </c>
    </row>
    <row r="135" spans="1:9" ht="14.25">
      <c r="A135" s="6">
        <v>131</v>
      </c>
      <c r="B135" s="7" t="s">
        <v>357</v>
      </c>
      <c r="C135" s="6" t="s">
        <v>536</v>
      </c>
      <c r="D135" s="7" t="s">
        <v>653</v>
      </c>
      <c r="E135" s="7" t="s">
        <v>522</v>
      </c>
      <c r="F135" s="12">
        <v>45425</v>
      </c>
      <c r="G135" s="9">
        <v>451</v>
      </c>
      <c r="H135" s="6">
        <v>2</v>
      </c>
      <c r="I135" s="9">
        <v>225.5</v>
      </c>
    </row>
    <row r="136" spans="1:9" ht="14.25">
      <c r="A136" s="6">
        <v>132</v>
      </c>
      <c r="B136" s="7" t="s">
        <v>231</v>
      </c>
      <c r="C136" s="6" t="s">
        <v>520</v>
      </c>
      <c r="D136" s="7" t="s">
        <v>654</v>
      </c>
      <c r="E136" s="7" t="s">
        <v>522</v>
      </c>
      <c r="F136" s="12">
        <v>44711</v>
      </c>
      <c r="G136" s="9">
        <v>1001</v>
      </c>
      <c r="H136" s="6">
        <v>1</v>
      </c>
      <c r="I136" s="9">
        <v>1001</v>
      </c>
    </row>
    <row r="137" spans="1:9" ht="14.25">
      <c r="A137" s="6">
        <v>133</v>
      </c>
      <c r="B137" s="7" t="s">
        <v>331</v>
      </c>
      <c r="C137" s="6" t="s">
        <v>520</v>
      </c>
      <c r="D137" s="7" t="s">
        <v>655</v>
      </c>
      <c r="E137" s="7" t="s">
        <v>528</v>
      </c>
      <c r="F137" s="12">
        <v>43543</v>
      </c>
      <c r="G137" s="9">
        <v>30.3</v>
      </c>
      <c r="H137" s="6">
        <v>1</v>
      </c>
      <c r="I137" s="9">
        <v>30.3</v>
      </c>
    </row>
    <row r="138" spans="1:9" ht="14.25">
      <c r="A138" s="6">
        <v>134</v>
      </c>
      <c r="B138" s="7" t="s">
        <v>331</v>
      </c>
      <c r="C138" s="6" t="s">
        <v>520</v>
      </c>
      <c r="D138" s="7" t="s">
        <v>656</v>
      </c>
      <c r="E138" s="7" t="s">
        <v>528</v>
      </c>
      <c r="F138" s="12">
        <v>44245</v>
      </c>
      <c r="G138" s="9">
        <v>515</v>
      </c>
      <c r="H138" s="6">
        <v>1</v>
      </c>
      <c r="I138" s="9">
        <v>515</v>
      </c>
    </row>
    <row r="139" spans="1:9" ht="14.25">
      <c r="A139" s="6">
        <v>135</v>
      </c>
      <c r="B139" s="7" t="s">
        <v>331</v>
      </c>
      <c r="C139" s="6" t="s">
        <v>520</v>
      </c>
      <c r="D139" s="7" t="s">
        <v>657</v>
      </c>
      <c r="E139" s="7" t="s">
        <v>528</v>
      </c>
      <c r="F139" s="12">
        <v>44663</v>
      </c>
      <c r="G139" s="9">
        <v>125.6</v>
      </c>
      <c r="H139" s="6">
        <v>1</v>
      </c>
      <c r="I139" s="9">
        <v>125.6</v>
      </c>
    </row>
    <row r="140" spans="1:9" ht="14.25">
      <c r="A140" s="6">
        <v>136</v>
      </c>
      <c r="B140" s="7" t="s">
        <v>331</v>
      </c>
      <c r="C140" s="6" t="s">
        <v>520</v>
      </c>
      <c r="D140" s="7" t="s">
        <v>658</v>
      </c>
      <c r="E140" s="7" t="s">
        <v>528</v>
      </c>
      <c r="F140" s="12">
        <v>44658</v>
      </c>
      <c r="G140" s="9">
        <v>125.6</v>
      </c>
      <c r="H140" s="6">
        <v>1</v>
      </c>
      <c r="I140" s="9">
        <v>125.6</v>
      </c>
    </row>
    <row r="141" spans="1:9" ht="14.25">
      <c r="A141" s="6">
        <v>137</v>
      </c>
      <c r="B141" s="7" t="s">
        <v>381</v>
      </c>
      <c r="C141" s="6" t="s">
        <v>536</v>
      </c>
      <c r="D141" s="7" t="s">
        <v>659</v>
      </c>
      <c r="E141" s="7" t="s">
        <v>522</v>
      </c>
      <c r="F141" s="12">
        <v>44545</v>
      </c>
      <c r="G141" s="9">
        <v>100</v>
      </c>
      <c r="H141" s="6">
        <v>2</v>
      </c>
      <c r="I141" s="9">
        <v>50</v>
      </c>
    </row>
    <row r="142" spans="1:9" ht="14.25">
      <c r="A142" s="6">
        <v>138</v>
      </c>
      <c r="B142" s="7" t="s">
        <v>381</v>
      </c>
      <c r="C142" s="6" t="s">
        <v>536</v>
      </c>
      <c r="D142" s="7" t="s">
        <v>660</v>
      </c>
      <c r="E142" s="7" t="s">
        <v>522</v>
      </c>
      <c r="F142" s="12">
        <v>44707</v>
      </c>
      <c r="G142" s="9">
        <v>103</v>
      </c>
      <c r="H142" s="6">
        <v>2</v>
      </c>
      <c r="I142" s="9">
        <v>51.5</v>
      </c>
    </row>
    <row r="143" spans="1:9" ht="14.25">
      <c r="A143" s="6">
        <v>139</v>
      </c>
      <c r="B143" s="7" t="s">
        <v>381</v>
      </c>
      <c r="C143" s="6" t="s">
        <v>520</v>
      </c>
      <c r="D143" s="7" t="s">
        <v>661</v>
      </c>
      <c r="E143" s="7" t="s">
        <v>522</v>
      </c>
      <c r="F143" s="12">
        <v>45414</v>
      </c>
      <c r="G143" s="9">
        <v>266.7</v>
      </c>
      <c r="H143" s="6">
        <v>1</v>
      </c>
      <c r="I143" s="9">
        <v>266.7</v>
      </c>
    </row>
    <row r="144" spans="1:9" ht="14.25">
      <c r="A144" s="6">
        <v>140</v>
      </c>
      <c r="B144" s="7" t="s">
        <v>462</v>
      </c>
      <c r="C144" s="6" t="s">
        <v>520</v>
      </c>
      <c r="D144" s="7" t="s">
        <v>662</v>
      </c>
      <c r="E144" s="7" t="s">
        <v>528</v>
      </c>
      <c r="F144" s="12">
        <v>43356</v>
      </c>
      <c r="G144" s="9">
        <v>70.099999999999994</v>
      </c>
      <c r="H144" s="6">
        <v>1</v>
      </c>
      <c r="I144" s="9">
        <v>70.099999999999994</v>
      </c>
    </row>
    <row r="145" spans="1:9" ht="14.25">
      <c r="A145" s="6">
        <v>141</v>
      </c>
      <c r="B145" s="7" t="s">
        <v>462</v>
      </c>
      <c r="C145" s="6" t="s">
        <v>520</v>
      </c>
      <c r="D145" s="7" t="s">
        <v>663</v>
      </c>
      <c r="E145" s="7" t="s">
        <v>528</v>
      </c>
      <c r="F145" s="12">
        <v>44333</v>
      </c>
      <c r="G145" s="9">
        <v>57.5</v>
      </c>
      <c r="H145" s="6">
        <v>1</v>
      </c>
      <c r="I145" s="9">
        <v>57.5</v>
      </c>
    </row>
    <row r="146" spans="1:9" ht="14.25">
      <c r="A146" s="6">
        <v>142</v>
      </c>
      <c r="B146" s="7" t="s">
        <v>462</v>
      </c>
      <c r="C146" s="6" t="s">
        <v>520</v>
      </c>
      <c r="D146" s="7" t="s">
        <v>664</v>
      </c>
      <c r="E146" s="7" t="s">
        <v>528</v>
      </c>
      <c r="F146" s="12">
        <v>45597</v>
      </c>
      <c r="G146" s="9">
        <v>101.5</v>
      </c>
      <c r="H146" s="6">
        <v>1</v>
      </c>
      <c r="I146" s="9">
        <v>101.5</v>
      </c>
    </row>
    <row r="147" spans="1:9" ht="14.25">
      <c r="A147" s="6">
        <v>143</v>
      </c>
      <c r="B147" s="7" t="s">
        <v>417</v>
      </c>
      <c r="C147" s="6" t="s">
        <v>520</v>
      </c>
      <c r="D147" s="7" t="s">
        <v>665</v>
      </c>
      <c r="E147" s="7" t="s">
        <v>522</v>
      </c>
      <c r="F147" s="12">
        <v>44019</v>
      </c>
      <c r="G147" s="9">
        <v>200</v>
      </c>
      <c r="H147" s="6">
        <v>1</v>
      </c>
      <c r="I147" s="9">
        <v>200</v>
      </c>
    </row>
    <row r="148" spans="1:9" ht="14.25">
      <c r="A148" s="6">
        <v>144</v>
      </c>
      <c r="B148" s="7" t="s">
        <v>417</v>
      </c>
      <c r="C148" s="6" t="s">
        <v>520</v>
      </c>
      <c r="D148" s="7" t="s">
        <v>666</v>
      </c>
      <c r="E148" s="7" t="s">
        <v>528</v>
      </c>
      <c r="F148" s="12">
        <v>44467</v>
      </c>
      <c r="G148" s="9">
        <v>200</v>
      </c>
      <c r="H148" s="6">
        <v>1</v>
      </c>
      <c r="I148" s="9">
        <v>200</v>
      </c>
    </row>
    <row r="149" spans="1:9" ht="14.25">
      <c r="A149" s="6">
        <v>145</v>
      </c>
      <c r="B149" s="7" t="s">
        <v>417</v>
      </c>
      <c r="C149" s="6" t="s">
        <v>520</v>
      </c>
      <c r="D149" s="7" t="s">
        <v>667</v>
      </c>
      <c r="E149" s="7" t="s">
        <v>522</v>
      </c>
      <c r="F149" s="12">
        <v>44398</v>
      </c>
      <c r="G149" s="9">
        <v>146</v>
      </c>
      <c r="H149" s="6">
        <v>1</v>
      </c>
      <c r="I149" s="9">
        <v>146</v>
      </c>
    </row>
    <row r="150" spans="1:9" ht="14.25">
      <c r="A150" s="6">
        <v>146</v>
      </c>
      <c r="B150" s="7" t="s">
        <v>382</v>
      </c>
      <c r="C150" s="6" t="s">
        <v>520</v>
      </c>
      <c r="D150" s="7" t="s">
        <v>668</v>
      </c>
      <c r="E150" s="7" t="s">
        <v>522</v>
      </c>
      <c r="F150" s="12">
        <v>44211</v>
      </c>
      <c r="G150" s="9">
        <v>266</v>
      </c>
      <c r="H150" s="6">
        <v>1</v>
      </c>
      <c r="I150" s="9">
        <v>266</v>
      </c>
    </row>
    <row r="151" spans="1:9" ht="14.25">
      <c r="A151" s="6">
        <v>147</v>
      </c>
      <c r="B151" s="7" t="s">
        <v>501</v>
      </c>
      <c r="C151" s="6" t="s">
        <v>520</v>
      </c>
      <c r="D151" s="7" t="s">
        <v>669</v>
      </c>
      <c r="E151" s="7" t="s">
        <v>522</v>
      </c>
      <c r="F151" s="12">
        <v>45485</v>
      </c>
      <c r="G151" s="9">
        <v>33</v>
      </c>
      <c r="H151" s="6">
        <v>1</v>
      </c>
      <c r="I151" s="9">
        <v>33</v>
      </c>
    </row>
    <row r="152" spans="1:9" ht="14.25">
      <c r="A152" s="6">
        <v>148</v>
      </c>
      <c r="B152" s="7" t="s">
        <v>292</v>
      </c>
      <c r="C152" s="6" t="s">
        <v>536</v>
      </c>
      <c r="D152" s="7" t="s">
        <v>561</v>
      </c>
      <c r="E152" s="7" t="s">
        <v>522</v>
      </c>
      <c r="F152" s="12">
        <v>44446</v>
      </c>
      <c r="G152" s="9">
        <v>1322</v>
      </c>
      <c r="H152" s="6">
        <v>2</v>
      </c>
      <c r="I152" s="9">
        <v>661</v>
      </c>
    </row>
    <row r="153" spans="1:9" ht="14.25">
      <c r="A153" s="6">
        <v>149</v>
      </c>
      <c r="B153" s="7" t="s">
        <v>292</v>
      </c>
      <c r="C153" s="6" t="s">
        <v>536</v>
      </c>
      <c r="D153" s="7" t="s">
        <v>670</v>
      </c>
      <c r="E153" s="7" t="s">
        <v>522</v>
      </c>
      <c r="F153" s="12">
        <v>44481</v>
      </c>
      <c r="G153" s="9">
        <v>435</v>
      </c>
      <c r="H153" s="6">
        <v>2</v>
      </c>
      <c r="I153" s="9">
        <v>217.5</v>
      </c>
    </row>
    <row r="154" spans="1:9" ht="14.25">
      <c r="A154" s="6">
        <v>150</v>
      </c>
      <c r="B154" s="7" t="s">
        <v>292</v>
      </c>
      <c r="C154" s="6" t="s">
        <v>536</v>
      </c>
      <c r="D154" s="7" t="s">
        <v>629</v>
      </c>
      <c r="E154" s="7" t="s">
        <v>522</v>
      </c>
      <c r="F154" s="12">
        <v>44760</v>
      </c>
      <c r="G154" s="9">
        <v>1053</v>
      </c>
      <c r="H154" s="6">
        <v>3</v>
      </c>
      <c r="I154" s="9">
        <v>351</v>
      </c>
    </row>
    <row r="155" spans="1:9" ht="14.25">
      <c r="A155" s="6">
        <v>151</v>
      </c>
      <c r="B155" s="7" t="s">
        <v>292</v>
      </c>
      <c r="C155" s="6" t="s">
        <v>536</v>
      </c>
      <c r="D155" s="7" t="s">
        <v>566</v>
      </c>
      <c r="E155" s="7" t="s">
        <v>522</v>
      </c>
      <c r="F155" s="12">
        <v>45098</v>
      </c>
      <c r="G155" s="9">
        <v>102</v>
      </c>
      <c r="H155" s="6">
        <v>2</v>
      </c>
      <c r="I155" s="9">
        <v>51</v>
      </c>
    </row>
    <row r="156" spans="1:9" ht="14.25">
      <c r="A156" s="6">
        <v>152</v>
      </c>
      <c r="B156" s="7" t="s">
        <v>261</v>
      </c>
      <c r="C156" s="6" t="s">
        <v>520</v>
      </c>
      <c r="D156" s="7" t="s">
        <v>671</v>
      </c>
      <c r="E156" s="7" t="s">
        <v>522</v>
      </c>
      <c r="F156" s="12">
        <v>44522</v>
      </c>
      <c r="G156" s="9">
        <v>118</v>
      </c>
      <c r="H156" s="6">
        <v>1</v>
      </c>
      <c r="I156" s="9">
        <v>118</v>
      </c>
    </row>
    <row r="157" spans="1:9" ht="14.25">
      <c r="A157" s="6">
        <v>153</v>
      </c>
      <c r="B157" s="7" t="s">
        <v>261</v>
      </c>
      <c r="C157" s="6" t="s">
        <v>520</v>
      </c>
      <c r="D157" s="7" t="s">
        <v>672</v>
      </c>
      <c r="E157" s="7" t="s">
        <v>522</v>
      </c>
      <c r="F157" s="12">
        <v>44900</v>
      </c>
      <c r="G157" s="9">
        <v>797</v>
      </c>
      <c r="H157" s="6">
        <v>1</v>
      </c>
      <c r="I157" s="9">
        <v>797</v>
      </c>
    </row>
    <row r="158" spans="1:9" ht="14.25">
      <c r="A158" s="6">
        <v>154</v>
      </c>
      <c r="B158" s="7" t="s">
        <v>261</v>
      </c>
      <c r="C158" s="6" t="s">
        <v>536</v>
      </c>
      <c r="D158" s="7" t="s">
        <v>673</v>
      </c>
      <c r="E158" s="7" t="s">
        <v>522</v>
      </c>
      <c r="F158" s="12">
        <v>45485</v>
      </c>
      <c r="G158" s="9">
        <v>42</v>
      </c>
      <c r="H158" s="6">
        <v>2</v>
      </c>
      <c r="I158" s="9">
        <v>21</v>
      </c>
    </row>
    <row r="159" spans="1:9" ht="14.25">
      <c r="A159" s="6">
        <v>155</v>
      </c>
      <c r="B159" s="7" t="s">
        <v>280</v>
      </c>
      <c r="C159" s="6" t="s">
        <v>520</v>
      </c>
      <c r="D159" s="7" t="s">
        <v>674</v>
      </c>
      <c r="E159" s="7" t="s">
        <v>522</v>
      </c>
      <c r="F159" s="12">
        <v>45135</v>
      </c>
      <c r="G159" s="9">
        <v>66</v>
      </c>
      <c r="H159" s="6">
        <v>1</v>
      </c>
      <c r="I159" s="9">
        <v>66</v>
      </c>
    </row>
    <row r="160" spans="1:9" ht="14.25">
      <c r="A160" s="6">
        <v>156</v>
      </c>
      <c r="B160" s="7" t="s">
        <v>280</v>
      </c>
      <c r="C160" s="6" t="s">
        <v>520</v>
      </c>
      <c r="D160" s="7" t="s">
        <v>675</v>
      </c>
      <c r="E160" s="7" t="s">
        <v>522</v>
      </c>
      <c r="F160" s="12">
        <v>45630</v>
      </c>
      <c r="G160" s="9">
        <v>730</v>
      </c>
      <c r="H160" s="6">
        <v>1</v>
      </c>
      <c r="I160" s="9">
        <v>730</v>
      </c>
    </row>
    <row r="161" spans="1:9" ht="14.25">
      <c r="A161" s="6">
        <v>157</v>
      </c>
      <c r="B161" s="7" t="s">
        <v>280</v>
      </c>
      <c r="C161" s="6" t="s">
        <v>520</v>
      </c>
      <c r="D161" s="7" t="s">
        <v>676</v>
      </c>
      <c r="E161" s="7" t="s">
        <v>522</v>
      </c>
      <c r="F161" s="12">
        <v>45628</v>
      </c>
      <c r="G161" s="9">
        <v>79.599999999999994</v>
      </c>
      <c r="H161" s="6">
        <v>1</v>
      </c>
      <c r="I161" s="9">
        <v>79.599999999999994</v>
      </c>
    </row>
    <row r="162" spans="1:9" ht="14.25">
      <c r="A162" s="6">
        <v>158</v>
      </c>
      <c r="B162" s="7" t="s">
        <v>338</v>
      </c>
      <c r="C162" s="6" t="s">
        <v>520</v>
      </c>
      <c r="D162" s="7" t="s">
        <v>677</v>
      </c>
      <c r="E162" s="7" t="s">
        <v>522</v>
      </c>
      <c r="F162" s="12">
        <v>43446</v>
      </c>
      <c r="G162" s="9">
        <v>500</v>
      </c>
      <c r="H162" s="6">
        <v>1</v>
      </c>
      <c r="I162" s="9">
        <v>500</v>
      </c>
    </row>
    <row r="163" spans="1:9" ht="14.25">
      <c r="A163" s="6">
        <v>159</v>
      </c>
      <c r="B163" s="7" t="s">
        <v>338</v>
      </c>
      <c r="C163" s="6" t="s">
        <v>520</v>
      </c>
      <c r="D163" s="7" t="s">
        <v>678</v>
      </c>
      <c r="E163" s="7" t="s">
        <v>522</v>
      </c>
      <c r="F163" s="12">
        <v>44281</v>
      </c>
      <c r="G163" s="9">
        <v>416.9</v>
      </c>
      <c r="H163" s="6">
        <v>1</v>
      </c>
      <c r="I163" s="9">
        <v>416.9</v>
      </c>
    </row>
    <row r="164" spans="1:9" ht="14.25">
      <c r="A164" s="6">
        <v>160</v>
      </c>
      <c r="B164" s="7" t="s">
        <v>338</v>
      </c>
      <c r="C164" s="6" t="s">
        <v>520</v>
      </c>
      <c r="D164" s="7" t="s">
        <v>679</v>
      </c>
      <c r="E164" s="7" t="s">
        <v>522</v>
      </c>
      <c r="F164" s="12">
        <v>45581</v>
      </c>
      <c r="G164" s="9">
        <v>368</v>
      </c>
      <c r="H164" s="6">
        <v>2</v>
      </c>
      <c r="I164" s="9">
        <v>184</v>
      </c>
    </row>
    <row r="165" spans="1:9" ht="14.25">
      <c r="A165" s="6">
        <v>161</v>
      </c>
      <c r="B165" s="7" t="s">
        <v>338</v>
      </c>
      <c r="C165" s="6" t="s">
        <v>520</v>
      </c>
      <c r="D165" s="7" t="s">
        <v>680</v>
      </c>
      <c r="E165" s="7" t="s">
        <v>522</v>
      </c>
      <c r="F165" s="12">
        <v>45567</v>
      </c>
      <c r="G165" s="9">
        <v>156</v>
      </c>
      <c r="H165" s="6">
        <v>1</v>
      </c>
      <c r="I165" s="9">
        <v>156</v>
      </c>
    </row>
    <row r="166" spans="1:9" ht="14.25">
      <c r="A166" s="6">
        <v>162</v>
      </c>
      <c r="B166" s="7" t="s">
        <v>338</v>
      </c>
      <c r="C166" s="6" t="s">
        <v>520</v>
      </c>
      <c r="D166" s="7" t="s">
        <v>681</v>
      </c>
      <c r="E166" s="7" t="s">
        <v>544</v>
      </c>
      <c r="F166" s="12">
        <v>45422</v>
      </c>
      <c r="G166" s="9">
        <v>430</v>
      </c>
      <c r="H166" s="6">
        <v>1</v>
      </c>
      <c r="I166" s="9">
        <v>430</v>
      </c>
    </row>
    <row r="167" spans="1:9" ht="14.25">
      <c r="A167" s="6">
        <v>163</v>
      </c>
      <c r="B167" s="7" t="s">
        <v>199</v>
      </c>
      <c r="C167" s="6" t="s">
        <v>520</v>
      </c>
      <c r="D167" s="7" t="s">
        <v>682</v>
      </c>
      <c r="E167" s="7" t="s">
        <v>522</v>
      </c>
      <c r="F167" s="12">
        <v>44071</v>
      </c>
      <c r="G167" s="9">
        <v>750</v>
      </c>
      <c r="H167" s="6">
        <v>1</v>
      </c>
      <c r="I167" s="9">
        <v>750</v>
      </c>
    </row>
    <row r="168" spans="1:9" ht="14.25">
      <c r="A168" s="6">
        <v>164</v>
      </c>
      <c r="B168" s="7" t="s">
        <v>199</v>
      </c>
      <c r="C168" s="6" t="s">
        <v>520</v>
      </c>
      <c r="D168" s="7" t="s">
        <v>683</v>
      </c>
      <c r="E168" s="7" t="s">
        <v>522</v>
      </c>
      <c r="F168" s="12">
        <v>45044</v>
      </c>
      <c r="G168" s="9">
        <v>1200</v>
      </c>
      <c r="H168" s="6">
        <v>1</v>
      </c>
      <c r="I168" s="9">
        <v>1200</v>
      </c>
    </row>
    <row r="169" spans="1:9" ht="14.25">
      <c r="A169" s="6">
        <v>165</v>
      </c>
      <c r="B169" s="7" t="s">
        <v>304</v>
      </c>
      <c r="C169" s="6" t="s">
        <v>520</v>
      </c>
      <c r="D169" s="7" t="s">
        <v>684</v>
      </c>
      <c r="E169" s="7" t="s">
        <v>522</v>
      </c>
      <c r="F169" s="12">
        <v>44762</v>
      </c>
      <c r="G169" s="9">
        <v>601</v>
      </c>
      <c r="H169" s="6">
        <v>1</v>
      </c>
      <c r="I169" s="9">
        <v>601</v>
      </c>
    </row>
    <row r="170" spans="1:9" ht="14.25">
      <c r="A170" s="6">
        <v>166</v>
      </c>
      <c r="B170" s="7" t="s">
        <v>304</v>
      </c>
      <c r="C170" s="6" t="s">
        <v>536</v>
      </c>
      <c r="D170" s="7" t="s">
        <v>685</v>
      </c>
      <c r="E170" s="7" t="s">
        <v>522</v>
      </c>
      <c r="F170" s="12">
        <v>45233</v>
      </c>
      <c r="G170" s="9">
        <v>420</v>
      </c>
      <c r="H170" s="6">
        <v>2</v>
      </c>
      <c r="I170" s="9">
        <v>210</v>
      </c>
    </row>
    <row r="171" spans="1:9" ht="14.25">
      <c r="A171" s="6">
        <v>167</v>
      </c>
      <c r="B171" s="7" t="s">
        <v>497</v>
      </c>
      <c r="C171" s="6" t="s">
        <v>520</v>
      </c>
      <c r="D171" s="7" t="s">
        <v>686</v>
      </c>
      <c r="E171" s="7" t="s">
        <v>522</v>
      </c>
      <c r="F171" s="12">
        <v>44085</v>
      </c>
      <c r="G171" s="9">
        <v>65</v>
      </c>
      <c r="H171" s="6">
        <v>2</v>
      </c>
      <c r="I171" s="9">
        <v>32.5</v>
      </c>
    </row>
    <row r="172" spans="1:9" ht="14.25">
      <c r="A172" s="6">
        <v>168</v>
      </c>
      <c r="B172" s="7" t="s">
        <v>497</v>
      </c>
      <c r="C172" s="6" t="s">
        <v>520</v>
      </c>
      <c r="D172" s="7" t="s">
        <v>632</v>
      </c>
      <c r="E172" s="7" t="s">
        <v>528</v>
      </c>
      <c r="F172" s="12">
        <v>44439</v>
      </c>
      <c r="G172" s="9">
        <v>86</v>
      </c>
      <c r="H172" s="6">
        <v>2</v>
      </c>
      <c r="I172" s="9">
        <v>43</v>
      </c>
    </row>
    <row r="173" spans="1:9" ht="14.25">
      <c r="A173" s="6">
        <v>169</v>
      </c>
      <c r="B173" s="7" t="s">
        <v>312</v>
      </c>
      <c r="C173" s="6" t="s">
        <v>520</v>
      </c>
      <c r="D173" s="7" t="s">
        <v>687</v>
      </c>
      <c r="E173" s="7" t="s">
        <v>522</v>
      </c>
      <c r="F173" s="12">
        <v>44426</v>
      </c>
      <c r="G173" s="9">
        <v>550</v>
      </c>
      <c r="H173" s="6">
        <v>1</v>
      </c>
      <c r="I173" s="9">
        <v>550</v>
      </c>
    </row>
    <row r="174" spans="1:9" ht="14.25">
      <c r="A174" s="6">
        <v>170</v>
      </c>
      <c r="B174" s="7" t="s">
        <v>312</v>
      </c>
      <c r="C174" s="6" t="s">
        <v>520</v>
      </c>
      <c r="D174" s="7" t="s">
        <v>688</v>
      </c>
      <c r="E174" s="7" t="s">
        <v>522</v>
      </c>
      <c r="F174" s="12">
        <v>44466</v>
      </c>
      <c r="G174" s="9">
        <v>122</v>
      </c>
      <c r="H174" s="6">
        <v>1</v>
      </c>
      <c r="I174" s="9">
        <v>122</v>
      </c>
    </row>
    <row r="175" spans="1:9" ht="14.25">
      <c r="A175" s="6">
        <v>171</v>
      </c>
      <c r="B175" s="7" t="s">
        <v>312</v>
      </c>
      <c r="C175" s="6" t="s">
        <v>520</v>
      </c>
      <c r="D175" s="7" t="s">
        <v>689</v>
      </c>
      <c r="E175" s="7" t="s">
        <v>522</v>
      </c>
      <c r="F175" s="12">
        <v>45638</v>
      </c>
      <c r="G175" s="9">
        <v>160</v>
      </c>
      <c r="H175" s="6">
        <v>1</v>
      </c>
      <c r="I175" s="9">
        <v>160</v>
      </c>
    </row>
    <row r="176" spans="1:9" ht="14.25">
      <c r="A176" s="6">
        <v>172</v>
      </c>
      <c r="B176" s="7" t="s">
        <v>290</v>
      </c>
      <c r="C176" s="6" t="s">
        <v>520</v>
      </c>
      <c r="D176" s="7" t="s">
        <v>690</v>
      </c>
      <c r="E176" s="7" t="s">
        <v>522</v>
      </c>
      <c r="F176" s="12">
        <v>44041</v>
      </c>
      <c r="G176" s="9">
        <v>355</v>
      </c>
      <c r="H176" s="6">
        <v>1</v>
      </c>
      <c r="I176" s="9">
        <v>355</v>
      </c>
    </row>
    <row r="177" spans="1:9" ht="14.25">
      <c r="A177" s="6">
        <v>173</v>
      </c>
      <c r="B177" s="7" t="s">
        <v>290</v>
      </c>
      <c r="C177" s="6" t="s">
        <v>520</v>
      </c>
      <c r="D177" s="7" t="s">
        <v>691</v>
      </c>
      <c r="E177" s="7" t="s">
        <v>522</v>
      </c>
      <c r="F177" s="12">
        <v>44406</v>
      </c>
      <c r="G177" s="9">
        <v>245.5</v>
      </c>
      <c r="H177" s="6">
        <v>1</v>
      </c>
      <c r="I177" s="9">
        <v>245.5</v>
      </c>
    </row>
    <row r="178" spans="1:9" ht="14.25">
      <c r="A178" s="6">
        <v>174</v>
      </c>
      <c r="B178" s="7" t="s">
        <v>290</v>
      </c>
      <c r="C178" s="6" t="s">
        <v>520</v>
      </c>
      <c r="D178" s="7" t="s">
        <v>692</v>
      </c>
      <c r="E178" s="7" t="s">
        <v>522</v>
      </c>
      <c r="F178" s="12">
        <v>44518</v>
      </c>
      <c r="G178" s="9">
        <v>667</v>
      </c>
      <c r="H178" s="6">
        <v>1</v>
      </c>
      <c r="I178" s="9">
        <v>667</v>
      </c>
    </row>
    <row r="179" spans="1:9" ht="14.25">
      <c r="A179" s="6">
        <v>175</v>
      </c>
      <c r="B179" s="7" t="s">
        <v>290</v>
      </c>
      <c r="C179" s="6" t="s">
        <v>520</v>
      </c>
      <c r="D179" s="7" t="s">
        <v>693</v>
      </c>
      <c r="E179" s="7" t="s">
        <v>522</v>
      </c>
      <c r="F179" s="12">
        <v>44313</v>
      </c>
      <c r="G179" s="9">
        <v>255</v>
      </c>
      <c r="H179" s="6">
        <v>2</v>
      </c>
      <c r="I179" s="9">
        <v>127.5</v>
      </c>
    </row>
    <row r="180" spans="1:9" ht="14.25">
      <c r="A180" s="6">
        <v>176</v>
      </c>
      <c r="B180" s="7" t="s">
        <v>290</v>
      </c>
      <c r="C180" s="6" t="s">
        <v>520</v>
      </c>
      <c r="D180" s="7" t="s">
        <v>694</v>
      </c>
      <c r="E180" s="7" t="s">
        <v>522</v>
      </c>
      <c r="F180" s="12">
        <v>45203</v>
      </c>
      <c r="G180" s="9">
        <v>121</v>
      </c>
      <c r="H180" s="6">
        <v>1</v>
      </c>
      <c r="I180" s="9">
        <v>121</v>
      </c>
    </row>
    <row r="181" spans="1:9" ht="14.25">
      <c r="A181" s="6">
        <v>177</v>
      </c>
      <c r="B181" s="7" t="s">
        <v>290</v>
      </c>
      <c r="C181" s="6" t="s">
        <v>520</v>
      </c>
      <c r="D181" s="7" t="s">
        <v>695</v>
      </c>
      <c r="E181" s="7" t="s">
        <v>522</v>
      </c>
      <c r="F181" s="12">
        <v>45329</v>
      </c>
      <c r="G181" s="9">
        <v>107</v>
      </c>
      <c r="H181" s="6">
        <v>1</v>
      </c>
      <c r="I181" s="9">
        <v>107</v>
      </c>
    </row>
    <row r="182" spans="1:9" ht="14.25">
      <c r="A182" s="6">
        <v>178</v>
      </c>
      <c r="B182" s="7" t="s">
        <v>454</v>
      </c>
      <c r="C182" s="6" t="s">
        <v>520</v>
      </c>
      <c r="D182" s="13" t="s">
        <v>696</v>
      </c>
      <c r="E182" s="7" t="s">
        <v>522</v>
      </c>
      <c r="F182" s="12">
        <v>44085</v>
      </c>
      <c r="G182" s="9">
        <v>100</v>
      </c>
      <c r="H182" s="6">
        <v>1</v>
      </c>
      <c r="I182" s="9">
        <v>100</v>
      </c>
    </row>
    <row r="183" spans="1:9" ht="14.25">
      <c r="A183" s="6">
        <v>179</v>
      </c>
      <c r="B183" s="7" t="s">
        <v>454</v>
      </c>
      <c r="C183" s="6" t="s">
        <v>536</v>
      </c>
      <c r="D183" s="7" t="s">
        <v>697</v>
      </c>
      <c r="E183" s="7" t="s">
        <v>522</v>
      </c>
      <c r="F183" s="12">
        <v>44694</v>
      </c>
      <c r="G183" s="9">
        <v>213</v>
      </c>
      <c r="H183" s="6">
        <v>2</v>
      </c>
      <c r="I183" s="9">
        <v>106.5</v>
      </c>
    </row>
    <row r="184" spans="1:9" ht="14.25">
      <c r="A184" s="6">
        <v>180</v>
      </c>
      <c r="B184" s="7" t="s">
        <v>399</v>
      </c>
      <c r="C184" s="6" t="s">
        <v>520</v>
      </c>
      <c r="D184" s="7" t="s">
        <v>698</v>
      </c>
      <c r="E184" s="7" t="s">
        <v>522</v>
      </c>
      <c r="F184" s="12">
        <v>44210</v>
      </c>
      <c r="G184" s="9">
        <v>220</v>
      </c>
      <c r="H184" s="6">
        <v>1</v>
      </c>
      <c r="I184" s="9">
        <v>220</v>
      </c>
    </row>
    <row r="185" spans="1:9" ht="14.25">
      <c r="A185" s="6">
        <v>181</v>
      </c>
      <c r="B185" s="7" t="s">
        <v>28</v>
      </c>
      <c r="C185" s="6" t="s">
        <v>520</v>
      </c>
      <c r="D185" s="7" t="s">
        <v>699</v>
      </c>
      <c r="E185" s="7" t="s">
        <v>522</v>
      </c>
      <c r="F185" s="12">
        <v>43763</v>
      </c>
      <c r="G185" s="9">
        <v>7198</v>
      </c>
      <c r="H185" s="6">
        <v>1</v>
      </c>
      <c r="I185" s="9">
        <v>7198</v>
      </c>
    </row>
    <row r="186" spans="1:9" ht="14.25">
      <c r="A186" s="6">
        <v>182</v>
      </c>
      <c r="B186" s="7" t="s">
        <v>28</v>
      </c>
      <c r="C186" s="6" t="s">
        <v>520</v>
      </c>
      <c r="D186" s="7" t="s">
        <v>700</v>
      </c>
      <c r="E186" s="7" t="s">
        <v>522</v>
      </c>
      <c r="F186" s="12">
        <v>43882</v>
      </c>
      <c r="G186" s="9">
        <v>4000.5</v>
      </c>
      <c r="H186" s="6">
        <v>1</v>
      </c>
      <c r="I186" s="9">
        <v>4000.5</v>
      </c>
    </row>
    <row r="187" spans="1:9" ht="14.25">
      <c r="A187" s="6">
        <v>183</v>
      </c>
      <c r="B187" s="7" t="s">
        <v>28</v>
      </c>
      <c r="C187" s="6" t="s">
        <v>520</v>
      </c>
      <c r="D187" s="7" t="s">
        <v>701</v>
      </c>
      <c r="E187" s="7" t="s">
        <v>522</v>
      </c>
      <c r="F187" s="12">
        <v>44630</v>
      </c>
      <c r="G187" s="9">
        <v>2199.5</v>
      </c>
      <c r="H187" s="6">
        <v>1</v>
      </c>
      <c r="I187" s="9">
        <v>2199.5</v>
      </c>
    </row>
    <row r="188" spans="1:9" ht="14.25">
      <c r="A188" s="6">
        <v>184</v>
      </c>
      <c r="B188" s="7" t="s">
        <v>28</v>
      </c>
      <c r="C188" s="6" t="s">
        <v>520</v>
      </c>
      <c r="D188" s="7" t="s">
        <v>702</v>
      </c>
      <c r="E188" s="7" t="s">
        <v>522</v>
      </c>
      <c r="F188" s="12">
        <v>45015</v>
      </c>
      <c r="G188" s="9">
        <v>10840</v>
      </c>
      <c r="H188" s="6">
        <v>1</v>
      </c>
      <c r="I188" s="9">
        <v>10840</v>
      </c>
    </row>
    <row r="189" spans="1:9" ht="14.25">
      <c r="A189" s="6">
        <v>185</v>
      </c>
      <c r="B189" s="7" t="s">
        <v>28</v>
      </c>
      <c r="C189" s="6" t="s">
        <v>520</v>
      </c>
      <c r="D189" s="7" t="s">
        <v>703</v>
      </c>
      <c r="E189" s="7" t="s">
        <v>522</v>
      </c>
      <c r="F189" s="12">
        <v>45498</v>
      </c>
      <c r="G189" s="9">
        <v>2120.5</v>
      </c>
      <c r="H189" s="6">
        <v>1</v>
      </c>
      <c r="I189" s="9">
        <v>2120.5</v>
      </c>
    </row>
    <row r="190" spans="1:9" ht="14.25">
      <c r="A190" s="6">
        <v>186</v>
      </c>
      <c r="B190" s="7" t="s">
        <v>276</v>
      </c>
      <c r="C190" s="6" t="s">
        <v>520</v>
      </c>
      <c r="D190" s="7" t="s">
        <v>704</v>
      </c>
      <c r="E190" s="7" t="s">
        <v>522</v>
      </c>
      <c r="F190" s="12">
        <v>45603</v>
      </c>
      <c r="G190" s="9">
        <v>740</v>
      </c>
      <c r="H190" s="6">
        <v>1</v>
      </c>
      <c r="I190" s="9">
        <v>740</v>
      </c>
    </row>
    <row r="191" spans="1:9" ht="14.25">
      <c r="A191" s="6">
        <v>187</v>
      </c>
      <c r="B191" s="7" t="s">
        <v>180</v>
      </c>
      <c r="C191" s="6" t="s">
        <v>520</v>
      </c>
      <c r="D191" s="7" t="s">
        <v>705</v>
      </c>
      <c r="E191" s="7" t="s">
        <v>528</v>
      </c>
      <c r="F191" s="12">
        <v>44302</v>
      </c>
      <c r="G191" s="9">
        <v>1475</v>
      </c>
      <c r="H191" s="6">
        <v>1</v>
      </c>
      <c r="I191" s="9">
        <v>1475</v>
      </c>
    </row>
    <row r="192" spans="1:9" ht="14.25">
      <c r="A192" s="6">
        <v>188</v>
      </c>
      <c r="B192" s="7" t="s">
        <v>428</v>
      </c>
      <c r="C192" s="6" t="s">
        <v>520</v>
      </c>
      <c r="D192" s="7" t="s">
        <v>706</v>
      </c>
      <c r="E192" s="7" t="s">
        <v>528</v>
      </c>
      <c r="F192" s="12">
        <v>44077</v>
      </c>
      <c r="G192" s="9">
        <v>53.5</v>
      </c>
      <c r="H192" s="6">
        <v>1</v>
      </c>
      <c r="I192" s="9">
        <v>53.5</v>
      </c>
    </row>
    <row r="193" spans="1:9" ht="14.25">
      <c r="A193" s="6">
        <v>189</v>
      </c>
      <c r="B193" s="7" t="s">
        <v>428</v>
      </c>
      <c r="C193" s="6" t="s">
        <v>520</v>
      </c>
      <c r="D193" s="7" t="s">
        <v>707</v>
      </c>
      <c r="E193" s="7" t="s">
        <v>528</v>
      </c>
      <c r="F193" s="12">
        <v>44145</v>
      </c>
      <c r="G193" s="9">
        <v>20.6</v>
      </c>
      <c r="H193" s="6">
        <v>1</v>
      </c>
      <c r="I193" s="9">
        <v>20.6</v>
      </c>
    </row>
    <row r="194" spans="1:9" ht="14.25">
      <c r="A194" s="6">
        <v>190</v>
      </c>
      <c r="B194" s="7" t="s">
        <v>428</v>
      </c>
      <c r="C194" s="6" t="s">
        <v>520</v>
      </c>
      <c r="D194" s="7" t="s">
        <v>708</v>
      </c>
      <c r="E194" s="7" t="s">
        <v>522</v>
      </c>
      <c r="F194" s="12">
        <v>44207</v>
      </c>
      <c r="G194" s="9">
        <v>103.5</v>
      </c>
      <c r="H194" s="6">
        <v>1</v>
      </c>
      <c r="I194" s="9">
        <v>103.5</v>
      </c>
    </row>
    <row r="195" spans="1:9" ht="14.25">
      <c r="A195" s="6">
        <v>191</v>
      </c>
      <c r="B195" s="7" t="s">
        <v>428</v>
      </c>
      <c r="C195" s="6" t="s">
        <v>520</v>
      </c>
      <c r="D195" s="7" t="s">
        <v>709</v>
      </c>
      <c r="E195" s="7" t="s">
        <v>522</v>
      </c>
      <c r="F195" s="12">
        <v>44386</v>
      </c>
      <c r="G195" s="9">
        <v>149.5</v>
      </c>
      <c r="H195" s="6">
        <v>1</v>
      </c>
      <c r="I195" s="9">
        <v>149.5</v>
      </c>
    </row>
    <row r="196" spans="1:9" ht="14.25">
      <c r="A196" s="6">
        <v>192</v>
      </c>
      <c r="B196" s="7" t="s">
        <v>428</v>
      </c>
      <c r="C196" s="6" t="s">
        <v>520</v>
      </c>
      <c r="D196" s="7" t="s">
        <v>710</v>
      </c>
      <c r="E196" s="7" t="s">
        <v>522</v>
      </c>
      <c r="F196" s="12">
        <v>44468</v>
      </c>
      <c r="G196" s="9">
        <v>124</v>
      </c>
      <c r="H196" s="6">
        <v>1</v>
      </c>
      <c r="I196" s="9">
        <v>124</v>
      </c>
    </row>
    <row r="197" spans="1:9" ht="14.25">
      <c r="A197" s="6">
        <v>193</v>
      </c>
      <c r="B197" s="7" t="s">
        <v>342</v>
      </c>
      <c r="C197" s="6" t="s">
        <v>520</v>
      </c>
      <c r="D197" s="7" t="s">
        <v>711</v>
      </c>
      <c r="E197" s="7" t="s">
        <v>528</v>
      </c>
      <c r="F197" s="12">
        <v>44175</v>
      </c>
      <c r="G197" s="9">
        <v>440</v>
      </c>
      <c r="H197" s="6">
        <v>2</v>
      </c>
      <c r="I197" s="9">
        <v>220</v>
      </c>
    </row>
    <row r="198" spans="1:9" ht="14.25">
      <c r="A198" s="6">
        <v>194</v>
      </c>
      <c r="B198" s="7" t="s">
        <v>342</v>
      </c>
      <c r="C198" s="6" t="s">
        <v>520</v>
      </c>
      <c r="D198" s="7" t="s">
        <v>712</v>
      </c>
      <c r="E198" s="7" t="s">
        <v>522</v>
      </c>
      <c r="F198" s="12">
        <v>44411</v>
      </c>
      <c r="G198" s="9">
        <v>219</v>
      </c>
      <c r="H198" s="6">
        <v>2</v>
      </c>
      <c r="I198" s="9">
        <v>109.5</v>
      </c>
    </row>
    <row r="199" spans="1:9" ht="14.25">
      <c r="A199" s="6">
        <v>195</v>
      </c>
      <c r="B199" s="7" t="s">
        <v>342</v>
      </c>
      <c r="C199" s="6" t="s">
        <v>520</v>
      </c>
      <c r="D199" s="7" t="s">
        <v>713</v>
      </c>
      <c r="E199" s="7" t="s">
        <v>528</v>
      </c>
      <c r="F199" s="12">
        <v>44652</v>
      </c>
      <c r="G199" s="9">
        <v>140</v>
      </c>
      <c r="H199" s="6">
        <v>1</v>
      </c>
      <c r="I199" s="9">
        <v>140</v>
      </c>
    </row>
    <row r="200" spans="1:9" ht="14.25">
      <c r="A200" s="6">
        <v>196</v>
      </c>
      <c r="B200" s="7" t="s">
        <v>342</v>
      </c>
      <c r="C200" s="6" t="s">
        <v>520</v>
      </c>
      <c r="D200" s="7" t="s">
        <v>714</v>
      </c>
      <c r="E200" s="7" t="s">
        <v>522</v>
      </c>
      <c r="F200" s="12">
        <v>45125</v>
      </c>
      <c r="G200" s="9">
        <v>500</v>
      </c>
      <c r="H200" s="6">
        <v>1</v>
      </c>
      <c r="I200" s="9">
        <v>500</v>
      </c>
    </row>
    <row r="201" spans="1:9" ht="14.25">
      <c r="A201" s="6">
        <v>197</v>
      </c>
      <c r="B201" s="7" t="s">
        <v>245</v>
      </c>
      <c r="C201" s="6" t="s">
        <v>520</v>
      </c>
      <c r="D201" s="7" t="s">
        <v>715</v>
      </c>
      <c r="E201" s="7" t="s">
        <v>522</v>
      </c>
      <c r="F201" s="12">
        <v>43448</v>
      </c>
      <c r="G201" s="9">
        <v>365</v>
      </c>
      <c r="H201" s="6">
        <v>1</v>
      </c>
      <c r="I201" s="9">
        <v>365</v>
      </c>
    </row>
    <row r="202" spans="1:9" ht="14.25">
      <c r="A202" s="6">
        <v>198</v>
      </c>
      <c r="B202" s="7" t="s">
        <v>245</v>
      </c>
      <c r="C202" s="6" t="s">
        <v>520</v>
      </c>
      <c r="D202" s="7" t="s">
        <v>716</v>
      </c>
      <c r="E202" s="7" t="s">
        <v>522</v>
      </c>
      <c r="F202" s="12">
        <v>44200</v>
      </c>
      <c r="G202" s="9">
        <v>915</v>
      </c>
      <c r="H202" s="6">
        <v>1</v>
      </c>
      <c r="I202" s="9">
        <v>915</v>
      </c>
    </row>
    <row r="203" spans="1:9" ht="14.25">
      <c r="A203" s="6">
        <v>199</v>
      </c>
      <c r="B203" s="7" t="s">
        <v>441</v>
      </c>
      <c r="C203" s="6" t="s">
        <v>536</v>
      </c>
      <c r="D203" s="7" t="s">
        <v>618</v>
      </c>
      <c r="E203" s="7" t="s">
        <v>522</v>
      </c>
      <c r="F203" s="12">
        <v>44624</v>
      </c>
      <c r="G203" s="9">
        <v>251</v>
      </c>
      <c r="H203" s="6">
        <v>2</v>
      </c>
      <c r="I203" s="9">
        <v>125.5</v>
      </c>
    </row>
    <row r="204" spans="1:9" ht="14.25">
      <c r="A204" s="6">
        <v>200</v>
      </c>
      <c r="B204" s="7" t="s">
        <v>389</v>
      </c>
      <c r="C204" s="6" t="s">
        <v>536</v>
      </c>
      <c r="D204" s="7" t="s">
        <v>717</v>
      </c>
      <c r="E204" s="7" t="s">
        <v>544</v>
      </c>
      <c r="F204" s="12">
        <v>44552</v>
      </c>
      <c r="G204" s="9">
        <v>492.5</v>
      </c>
      <c r="H204" s="6">
        <v>2</v>
      </c>
      <c r="I204" s="9">
        <v>246.2</v>
      </c>
    </row>
    <row r="205" spans="1:9" ht="14.25">
      <c r="A205" s="6">
        <v>201</v>
      </c>
      <c r="B205" s="7" t="s">
        <v>433</v>
      </c>
      <c r="C205" s="6" t="s">
        <v>520</v>
      </c>
      <c r="D205" s="7" t="s">
        <v>718</v>
      </c>
      <c r="E205" s="7" t="s">
        <v>522</v>
      </c>
      <c r="F205" s="12">
        <v>44175</v>
      </c>
      <c r="G205" s="9">
        <v>141.4</v>
      </c>
      <c r="H205" s="6">
        <v>1</v>
      </c>
      <c r="I205" s="9">
        <v>141.4</v>
      </c>
    </row>
    <row r="206" spans="1:9" ht="14.25">
      <c r="A206" s="6">
        <v>202</v>
      </c>
      <c r="B206" s="7" t="s">
        <v>433</v>
      </c>
      <c r="C206" s="6" t="s">
        <v>520</v>
      </c>
      <c r="D206" s="7" t="s">
        <v>719</v>
      </c>
      <c r="E206" s="7" t="s">
        <v>522</v>
      </c>
      <c r="F206" s="12">
        <v>44337</v>
      </c>
      <c r="G206" s="9">
        <v>77.099999999999994</v>
      </c>
      <c r="H206" s="6">
        <v>1</v>
      </c>
      <c r="I206" s="9">
        <v>77.099999999999994</v>
      </c>
    </row>
    <row r="207" spans="1:9" ht="14.25">
      <c r="A207" s="6">
        <v>203</v>
      </c>
      <c r="B207" s="7" t="s">
        <v>277</v>
      </c>
      <c r="C207" s="6" t="s">
        <v>536</v>
      </c>
      <c r="D207" s="7" t="s">
        <v>720</v>
      </c>
      <c r="E207" s="7" t="s">
        <v>522</v>
      </c>
      <c r="F207" s="12">
        <v>44172</v>
      </c>
      <c r="G207" s="9">
        <v>222</v>
      </c>
      <c r="H207" s="6">
        <v>2</v>
      </c>
      <c r="I207" s="9">
        <v>111</v>
      </c>
    </row>
    <row r="208" spans="1:9" ht="14.25">
      <c r="A208" s="6">
        <v>204</v>
      </c>
      <c r="B208" s="7" t="s">
        <v>277</v>
      </c>
      <c r="C208" s="6" t="s">
        <v>520</v>
      </c>
      <c r="D208" s="7" t="s">
        <v>721</v>
      </c>
      <c r="E208" s="7" t="s">
        <v>528</v>
      </c>
      <c r="F208" s="12">
        <v>44167</v>
      </c>
      <c r="G208" s="9">
        <v>89.1</v>
      </c>
      <c r="H208" s="6">
        <v>2</v>
      </c>
      <c r="I208" s="9">
        <v>44.5</v>
      </c>
    </row>
    <row r="209" spans="1:9" ht="14.25">
      <c r="A209" s="6">
        <v>205</v>
      </c>
      <c r="B209" s="7" t="s">
        <v>277</v>
      </c>
      <c r="C209" s="6" t="s">
        <v>520</v>
      </c>
      <c r="D209" s="7" t="s">
        <v>722</v>
      </c>
      <c r="E209" s="7" t="s">
        <v>522</v>
      </c>
      <c r="F209" s="12">
        <v>44250</v>
      </c>
      <c r="G209" s="9">
        <v>1461</v>
      </c>
      <c r="H209" s="6">
        <v>2</v>
      </c>
      <c r="I209" s="9">
        <v>730.5</v>
      </c>
    </row>
    <row r="210" spans="1:9" ht="14.25">
      <c r="A210" s="6">
        <v>206</v>
      </c>
      <c r="B210" s="7" t="s">
        <v>221</v>
      </c>
      <c r="C210" s="6" t="s">
        <v>520</v>
      </c>
      <c r="D210" s="7" t="s">
        <v>723</v>
      </c>
      <c r="E210" s="7" t="s">
        <v>544</v>
      </c>
      <c r="F210" s="12">
        <v>43584</v>
      </c>
      <c r="G210" s="9">
        <v>1066</v>
      </c>
      <c r="H210" s="6">
        <v>2</v>
      </c>
      <c r="I210" s="9">
        <v>533</v>
      </c>
    </row>
    <row r="211" spans="1:9" ht="14.25">
      <c r="A211" s="6">
        <v>207</v>
      </c>
      <c r="B211" s="7" t="s">
        <v>221</v>
      </c>
      <c r="C211" s="6" t="s">
        <v>520</v>
      </c>
      <c r="D211" s="7" t="s">
        <v>724</v>
      </c>
      <c r="E211" s="7" t="s">
        <v>544</v>
      </c>
      <c r="F211" s="12">
        <v>43767</v>
      </c>
      <c r="G211" s="9">
        <v>2070</v>
      </c>
      <c r="H211" s="6">
        <v>2</v>
      </c>
      <c r="I211" s="9">
        <v>1035</v>
      </c>
    </row>
    <row r="212" spans="1:9" ht="14.25">
      <c r="A212" s="6">
        <v>208</v>
      </c>
      <c r="B212" s="7" t="s">
        <v>221</v>
      </c>
      <c r="C212" s="6" t="s">
        <v>520</v>
      </c>
      <c r="D212" s="7" t="s">
        <v>725</v>
      </c>
      <c r="E212" s="7" t="s">
        <v>528</v>
      </c>
      <c r="F212" s="12">
        <v>44477</v>
      </c>
      <c r="G212" s="9">
        <v>1001</v>
      </c>
      <c r="H212" s="6">
        <v>2</v>
      </c>
      <c r="I212" s="9">
        <v>500.5</v>
      </c>
    </row>
    <row r="213" spans="1:9" ht="14.25">
      <c r="A213" s="6">
        <v>209</v>
      </c>
      <c r="B213" s="7" t="s">
        <v>221</v>
      </c>
      <c r="C213" s="6" t="s">
        <v>520</v>
      </c>
      <c r="D213" s="7" t="s">
        <v>726</v>
      </c>
      <c r="E213" s="7" t="s">
        <v>544</v>
      </c>
      <c r="F213" s="12">
        <v>44343</v>
      </c>
      <c r="G213" s="9">
        <v>151</v>
      </c>
      <c r="H213" s="6">
        <v>1</v>
      </c>
      <c r="I213" s="9">
        <v>151</v>
      </c>
    </row>
    <row r="214" spans="1:9" ht="14.25">
      <c r="A214" s="6">
        <v>210</v>
      </c>
      <c r="B214" s="7" t="s">
        <v>62</v>
      </c>
      <c r="C214" s="6" t="s">
        <v>520</v>
      </c>
      <c r="D214" s="7" t="s">
        <v>727</v>
      </c>
      <c r="E214" s="7" t="s">
        <v>522</v>
      </c>
      <c r="F214" s="12">
        <v>42529</v>
      </c>
      <c r="G214" s="9">
        <v>5160</v>
      </c>
      <c r="H214" s="6">
        <v>1</v>
      </c>
      <c r="I214" s="9">
        <v>5160</v>
      </c>
    </row>
    <row r="215" spans="1:9" ht="14.25">
      <c r="A215" s="6">
        <v>211</v>
      </c>
      <c r="B215" s="7" t="s">
        <v>62</v>
      </c>
      <c r="C215" s="6" t="s">
        <v>520</v>
      </c>
      <c r="D215" s="7" t="s">
        <v>728</v>
      </c>
      <c r="E215" s="7" t="s">
        <v>522</v>
      </c>
      <c r="F215" s="12">
        <v>44704</v>
      </c>
      <c r="G215" s="9">
        <v>3161.5</v>
      </c>
      <c r="H215" s="6">
        <v>1</v>
      </c>
      <c r="I215" s="9">
        <v>3161.5</v>
      </c>
    </row>
    <row r="216" spans="1:9" ht="14.25">
      <c r="A216" s="6">
        <v>212</v>
      </c>
      <c r="B216" s="7" t="s">
        <v>179</v>
      </c>
      <c r="C216" s="6" t="s">
        <v>520</v>
      </c>
      <c r="D216" s="7" t="s">
        <v>729</v>
      </c>
      <c r="E216" s="7" t="s">
        <v>522</v>
      </c>
      <c r="F216" s="12">
        <v>43445</v>
      </c>
      <c r="G216" s="9">
        <v>1486</v>
      </c>
      <c r="H216" s="6">
        <v>1</v>
      </c>
      <c r="I216" s="9">
        <v>1486</v>
      </c>
    </row>
    <row r="217" spans="1:9" ht="14.25">
      <c r="A217" s="6">
        <v>213</v>
      </c>
      <c r="B217" s="7" t="s">
        <v>179</v>
      </c>
      <c r="C217" s="6" t="s">
        <v>536</v>
      </c>
      <c r="D217" s="7" t="s">
        <v>730</v>
      </c>
      <c r="E217" s="7" t="s">
        <v>522</v>
      </c>
      <c r="F217" s="12">
        <v>44589</v>
      </c>
      <c r="G217" s="9">
        <v>1539.1</v>
      </c>
      <c r="H217" s="6">
        <v>2</v>
      </c>
      <c r="I217" s="9">
        <v>769.5</v>
      </c>
    </row>
    <row r="218" spans="1:9" ht="14.25">
      <c r="A218" s="6">
        <v>214</v>
      </c>
      <c r="B218" s="7" t="s">
        <v>383</v>
      </c>
      <c r="C218" s="6" t="s">
        <v>520</v>
      </c>
      <c r="D218" s="7" t="s">
        <v>731</v>
      </c>
      <c r="E218" s="7" t="s">
        <v>528</v>
      </c>
      <c r="F218" s="12">
        <v>44221</v>
      </c>
      <c r="G218" s="9">
        <v>265</v>
      </c>
      <c r="H218" s="6">
        <v>1</v>
      </c>
      <c r="I218" s="9">
        <v>265</v>
      </c>
    </row>
    <row r="219" spans="1:9" ht="14.25">
      <c r="A219" s="6">
        <v>215</v>
      </c>
      <c r="B219" s="7" t="s">
        <v>346</v>
      </c>
      <c r="C219" s="6" t="s">
        <v>520</v>
      </c>
      <c r="D219" s="7" t="s">
        <v>732</v>
      </c>
      <c r="E219" s="7" t="s">
        <v>522</v>
      </c>
      <c r="F219" s="12">
        <v>43671</v>
      </c>
      <c r="G219" s="9">
        <v>185</v>
      </c>
      <c r="H219" s="6">
        <v>1</v>
      </c>
      <c r="I219" s="9">
        <v>185</v>
      </c>
    </row>
    <row r="220" spans="1:9" ht="14.25">
      <c r="A220" s="6">
        <v>216</v>
      </c>
      <c r="B220" s="7" t="s">
        <v>346</v>
      </c>
      <c r="C220" s="6" t="s">
        <v>536</v>
      </c>
      <c r="D220" s="7" t="s">
        <v>733</v>
      </c>
      <c r="E220" s="7" t="s">
        <v>522</v>
      </c>
      <c r="F220" s="12">
        <v>44431</v>
      </c>
      <c r="G220" s="9">
        <v>910</v>
      </c>
      <c r="H220" s="6">
        <v>2</v>
      </c>
      <c r="I220" s="9">
        <v>455</v>
      </c>
    </row>
    <row r="221" spans="1:9" ht="14.25">
      <c r="A221" s="6">
        <v>217</v>
      </c>
      <c r="B221" s="7" t="s">
        <v>398</v>
      </c>
      <c r="C221" s="6" t="s">
        <v>520</v>
      </c>
      <c r="D221" s="7" t="s">
        <v>734</v>
      </c>
      <c r="E221" s="7" t="s">
        <v>544</v>
      </c>
      <c r="F221" s="12">
        <v>44426</v>
      </c>
      <c r="G221" s="9">
        <v>220</v>
      </c>
      <c r="H221" s="6">
        <v>1</v>
      </c>
      <c r="I221" s="9">
        <v>220</v>
      </c>
    </row>
    <row r="222" spans="1:9" ht="14.25">
      <c r="A222" s="6">
        <v>218</v>
      </c>
      <c r="B222" s="7" t="s">
        <v>398</v>
      </c>
      <c r="C222" s="6" t="s">
        <v>520</v>
      </c>
      <c r="D222" s="7" t="s">
        <v>735</v>
      </c>
      <c r="E222" s="7" t="s">
        <v>522</v>
      </c>
      <c r="F222" s="12">
        <v>44337</v>
      </c>
      <c r="G222" s="9">
        <v>80</v>
      </c>
      <c r="H222" s="6">
        <v>1</v>
      </c>
      <c r="I222" s="9">
        <v>80</v>
      </c>
    </row>
    <row r="223" spans="1:9" ht="14.25">
      <c r="A223" s="6">
        <v>219</v>
      </c>
      <c r="B223" s="7" t="s">
        <v>398</v>
      </c>
      <c r="C223" s="6" t="s">
        <v>520</v>
      </c>
      <c r="D223" s="7" t="s">
        <v>736</v>
      </c>
      <c r="E223" s="7" t="s">
        <v>544</v>
      </c>
      <c r="F223" s="12">
        <v>44483</v>
      </c>
      <c r="G223" s="9">
        <v>84.1</v>
      </c>
      <c r="H223" s="6">
        <v>1</v>
      </c>
      <c r="I223" s="9">
        <v>84.1</v>
      </c>
    </row>
    <row r="224" spans="1:9" ht="14.25">
      <c r="A224" s="6">
        <v>220</v>
      </c>
      <c r="B224" s="7" t="s">
        <v>398</v>
      </c>
      <c r="C224" s="6" t="s">
        <v>536</v>
      </c>
      <c r="D224" s="7" t="s">
        <v>737</v>
      </c>
      <c r="E224" s="7" t="s">
        <v>544</v>
      </c>
      <c r="F224" s="12">
        <v>45328</v>
      </c>
      <c r="G224" s="9">
        <v>55</v>
      </c>
      <c r="H224" s="6">
        <v>2</v>
      </c>
      <c r="I224" s="9">
        <v>27.5</v>
      </c>
    </row>
    <row r="225" spans="1:9" ht="14.25">
      <c r="A225" s="6">
        <v>221</v>
      </c>
      <c r="B225" s="7" t="s">
        <v>398</v>
      </c>
      <c r="C225" s="6" t="s">
        <v>536</v>
      </c>
      <c r="D225" s="7" t="s">
        <v>738</v>
      </c>
      <c r="E225" s="7" t="s">
        <v>544</v>
      </c>
      <c r="F225" s="12">
        <v>45364</v>
      </c>
      <c r="G225" s="9">
        <v>202</v>
      </c>
      <c r="H225" s="6">
        <v>2</v>
      </c>
      <c r="I225" s="9">
        <v>101</v>
      </c>
    </row>
    <row r="226" spans="1:9" ht="14.25">
      <c r="A226" s="6">
        <v>222</v>
      </c>
      <c r="B226" s="7" t="s">
        <v>228</v>
      </c>
      <c r="C226" s="6" t="s">
        <v>520</v>
      </c>
      <c r="D226" s="7" t="s">
        <v>739</v>
      </c>
      <c r="E226" s="7" t="s">
        <v>528</v>
      </c>
      <c r="F226" s="12">
        <v>43818</v>
      </c>
      <c r="G226" s="9">
        <v>247</v>
      </c>
      <c r="H226" s="6">
        <v>1</v>
      </c>
      <c r="I226" s="9">
        <v>247</v>
      </c>
    </row>
    <row r="227" spans="1:9" ht="14.25">
      <c r="A227" s="6">
        <v>223</v>
      </c>
      <c r="B227" s="7" t="s">
        <v>228</v>
      </c>
      <c r="C227" s="6" t="s">
        <v>520</v>
      </c>
      <c r="D227" s="7" t="s">
        <v>740</v>
      </c>
      <c r="E227" s="7" t="s">
        <v>522</v>
      </c>
      <c r="F227" s="12">
        <v>44147</v>
      </c>
      <c r="G227" s="9">
        <v>1013</v>
      </c>
      <c r="H227" s="6">
        <v>1</v>
      </c>
      <c r="I227" s="9">
        <v>1013</v>
      </c>
    </row>
    <row r="228" spans="1:9" ht="14.25">
      <c r="A228" s="6">
        <v>224</v>
      </c>
      <c r="B228" s="7" t="s">
        <v>228</v>
      </c>
      <c r="C228" s="6" t="s">
        <v>520</v>
      </c>
      <c r="D228" s="7" t="s">
        <v>741</v>
      </c>
      <c r="E228" s="7" t="s">
        <v>522</v>
      </c>
      <c r="F228" s="12">
        <v>44728</v>
      </c>
      <c r="G228" s="9">
        <v>504</v>
      </c>
      <c r="H228" s="6">
        <v>1</v>
      </c>
      <c r="I228" s="9">
        <v>504</v>
      </c>
    </row>
    <row r="229" spans="1:9" ht="14.25">
      <c r="A229" s="6">
        <v>225</v>
      </c>
      <c r="B229" s="7" t="s">
        <v>228</v>
      </c>
      <c r="C229" s="6" t="s">
        <v>520</v>
      </c>
      <c r="D229" s="7" t="s">
        <v>742</v>
      </c>
      <c r="E229" s="7" t="s">
        <v>522</v>
      </c>
      <c r="F229" s="12">
        <v>44687</v>
      </c>
      <c r="G229" s="9">
        <v>804</v>
      </c>
      <c r="H229" s="6">
        <v>1</v>
      </c>
      <c r="I229" s="9">
        <v>804</v>
      </c>
    </row>
    <row r="230" spans="1:9" ht="14.25">
      <c r="A230" s="6">
        <v>226</v>
      </c>
      <c r="B230" s="7" t="s">
        <v>451</v>
      </c>
      <c r="C230" s="6" t="s">
        <v>536</v>
      </c>
      <c r="D230" s="7" t="s">
        <v>743</v>
      </c>
      <c r="E230" s="7" t="s">
        <v>522</v>
      </c>
      <c r="F230" s="12">
        <v>44434</v>
      </c>
      <c r="G230" s="9">
        <v>217</v>
      </c>
      <c r="H230" s="6">
        <v>2</v>
      </c>
      <c r="I230" s="9">
        <v>108.5</v>
      </c>
    </row>
    <row r="231" spans="1:9" ht="14.25">
      <c r="A231" s="6">
        <v>227</v>
      </c>
      <c r="B231" s="7" t="s">
        <v>451</v>
      </c>
      <c r="C231" s="6" t="s">
        <v>536</v>
      </c>
      <c r="D231" s="7" t="s">
        <v>744</v>
      </c>
      <c r="E231" s="7" t="s">
        <v>522</v>
      </c>
      <c r="F231" s="12">
        <v>44819</v>
      </c>
      <c r="G231" s="9">
        <v>202</v>
      </c>
      <c r="H231" s="6">
        <v>2</v>
      </c>
      <c r="I231" s="9">
        <v>101</v>
      </c>
    </row>
    <row r="232" spans="1:9" ht="14.25">
      <c r="A232" s="6">
        <v>228</v>
      </c>
      <c r="B232" s="7" t="s">
        <v>314</v>
      </c>
      <c r="C232" s="6" t="s">
        <v>536</v>
      </c>
      <c r="D232" s="7" t="s">
        <v>745</v>
      </c>
      <c r="E232" s="7" t="s">
        <v>522</v>
      </c>
      <c r="F232" s="12">
        <v>44673</v>
      </c>
      <c r="G232" s="9">
        <v>1100</v>
      </c>
      <c r="H232" s="6">
        <v>2</v>
      </c>
      <c r="I232" s="9">
        <v>550</v>
      </c>
    </row>
    <row r="233" spans="1:9" ht="14.25">
      <c r="A233" s="6">
        <v>229</v>
      </c>
      <c r="B233" s="7" t="s">
        <v>332</v>
      </c>
      <c r="C233" s="6" t="s">
        <v>536</v>
      </c>
      <c r="D233" s="7" t="s">
        <v>746</v>
      </c>
      <c r="E233" s="7" t="s">
        <v>522</v>
      </c>
      <c r="F233" s="12">
        <v>45026</v>
      </c>
      <c r="G233" s="9">
        <v>1026</v>
      </c>
      <c r="H233" s="6">
        <v>2</v>
      </c>
      <c r="I233" s="9">
        <v>513</v>
      </c>
    </row>
    <row r="234" spans="1:9" ht="14.25">
      <c r="A234" s="6">
        <v>230</v>
      </c>
      <c r="B234" s="7" t="s">
        <v>332</v>
      </c>
      <c r="C234" s="6" t="s">
        <v>520</v>
      </c>
      <c r="D234" s="7" t="s">
        <v>542</v>
      </c>
      <c r="E234" s="7" t="s">
        <v>522</v>
      </c>
      <c r="F234" s="12">
        <v>45526</v>
      </c>
      <c r="G234" s="9">
        <v>188</v>
      </c>
      <c r="H234" s="6">
        <v>2</v>
      </c>
      <c r="I234" s="9">
        <v>94</v>
      </c>
    </row>
    <row r="235" spans="1:9" ht="14.25">
      <c r="A235" s="6">
        <v>231</v>
      </c>
      <c r="B235" s="7" t="s">
        <v>401</v>
      </c>
      <c r="C235" s="6" t="s">
        <v>520</v>
      </c>
      <c r="D235" s="7" t="s">
        <v>747</v>
      </c>
      <c r="E235" s="7" t="s">
        <v>522</v>
      </c>
      <c r="F235" s="12">
        <v>44277</v>
      </c>
      <c r="G235" s="9">
        <v>218</v>
      </c>
      <c r="H235" s="6">
        <v>1</v>
      </c>
      <c r="I235" s="9">
        <v>218</v>
      </c>
    </row>
    <row r="236" spans="1:9" ht="14.25">
      <c r="A236" s="6">
        <v>232</v>
      </c>
      <c r="B236" s="7" t="s">
        <v>470</v>
      </c>
      <c r="C236" s="6" t="s">
        <v>520</v>
      </c>
      <c r="D236" s="7" t="s">
        <v>748</v>
      </c>
      <c r="E236" s="7" t="s">
        <v>522</v>
      </c>
      <c r="F236" s="12">
        <v>44483</v>
      </c>
      <c r="G236" s="9">
        <v>98</v>
      </c>
      <c r="H236" s="6">
        <v>1</v>
      </c>
      <c r="I236" s="9">
        <v>98</v>
      </c>
    </row>
    <row r="237" spans="1:9" ht="14.25">
      <c r="A237" s="6">
        <v>233</v>
      </c>
      <c r="B237" s="7" t="s">
        <v>188</v>
      </c>
      <c r="C237" s="6" t="s">
        <v>536</v>
      </c>
      <c r="D237" s="7" t="s">
        <v>749</v>
      </c>
      <c r="E237" s="7" t="s">
        <v>522</v>
      </c>
      <c r="F237" s="12">
        <v>45105</v>
      </c>
      <c r="G237" s="9">
        <v>2546.5</v>
      </c>
      <c r="H237" s="6">
        <v>2</v>
      </c>
      <c r="I237" s="9">
        <v>1273.2</v>
      </c>
    </row>
    <row r="238" spans="1:9" ht="14.25">
      <c r="A238" s="6">
        <v>234</v>
      </c>
      <c r="B238" s="7" t="s">
        <v>335</v>
      </c>
      <c r="C238" s="6" t="s">
        <v>520</v>
      </c>
      <c r="D238" s="7" t="s">
        <v>750</v>
      </c>
      <c r="E238" s="7" t="s">
        <v>522</v>
      </c>
      <c r="F238" s="12">
        <v>44911</v>
      </c>
      <c r="G238" s="9">
        <v>501</v>
      </c>
      <c r="H238" s="6">
        <v>1</v>
      </c>
      <c r="I238" s="9">
        <v>501</v>
      </c>
    </row>
    <row r="239" spans="1:9" ht="14.25">
      <c r="A239" s="6">
        <v>235</v>
      </c>
      <c r="B239" s="7" t="s">
        <v>335</v>
      </c>
      <c r="C239" s="6" t="s">
        <v>520</v>
      </c>
      <c r="D239" s="7" t="s">
        <v>751</v>
      </c>
      <c r="E239" s="7" t="s">
        <v>522</v>
      </c>
      <c r="F239" s="12">
        <v>45203</v>
      </c>
      <c r="G239" s="9">
        <v>120.1</v>
      </c>
      <c r="H239" s="6">
        <v>1</v>
      </c>
      <c r="I239" s="9">
        <v>120.1</v>
      </c>
    </row>
    <row r="240" spans="1:9" ht="14.25">
      <c r="A240" s="6">
        <v>236</v>
      </c>
      <c r="B240" s="7" t="s">
        <v>422</v>
      </c>
      <c r="C240" s="6" t="s">
        <v>520</v>
      </c>
      <c r="D240" s="7" t="s">
        <v>752</v>
      </c>
      <c r="E240" s="7" t="s">
        <v>522</v>
      </c>
      <c r="F240" s="12">
        <v>45462</v>
      </c>
      <c r="G240" s="9">
        <v>160</v>
      </c>
      <c r="H240" s="6">
        <v>1</v>
      </c>
      <c r="I240" s="9">
        <v>160</v>
      </c>
    </row>
    <row r="241" spans="1:9" ht="14.25">
      <c r="A241" s="6">
        <v>237</v>
      </c>
      <c r="B241" s="7" t="s">
        <v>90</v>
      </c>
      <c r="C241" s="6" t="s">
        <v>520</v>
      </c>
      <c r="D241" s="7" t="s">
        <v>753</v>
      </c>
      <c r="E241" s="7" t="s">
        <v>522</v>
      </c>
      <c r="F241" s="12">
        <v>42640</v>
      </c>
      <c r="G241" s="9">
        <v>2552</v>
      </c>
      <c r="H241" s="6">
        <v>1</v>
      </c>
      <c r="I241" s="9">
        <v>2552</v>
      </c>
    </row>
    <row r="242" spans="1:9" ht="14.25">
      <c r="A242" s="6">
        <v>238</v>
      </c>
      <c r="B242" s="7" t="s">
        <v>90</v>
      </c>
      <c r="C242" s="6" t="s">
        <v>520</v>
      </c>
      <c r="D242" s="7" t="s">
        <v>754</v>
      </c>
      <c r="E242" s="7" t="s">
        <v>522</v>
      </c>
      <c r="F242" s="12">
        <v>42639</v>
      </c>
      <c r="G242" s="9">
        <v>2480</v>
      </c>
      <c r="H242" s="6">
        <v>1</v>
      </c>
      <c r="I242" s="9">
        <v>2480</v>
      </c>
    </row>
    <row r="243" spans="1:9" ht="14.25">
      <c r="A243" s="6">
        <v>239</v>
      </c>
      <c r="B243" s="7" t="s">
        <v>90</v>
      </c>
      <c r="C243" s="6" t="s">
        <v>520</v>
      </c>
      <c r="D243" s="7" t="s">
        <v>755</v>
      </c>
      <c r="E243" s="7" t="s">
        <v>522</v>
      </c>
      <c r="F243" s="12">
        <v>42639</v>
      </c>
      <c r="G243" s="9">
        <v>2526</v>
      </c>
      <c r="H243" s="6">
        <v>1</v>
      </c>
      <c r="I243" s="9">
        <v>2526</v>
      </c>
    </row>
    <row r="244" spans="1:9" ht="14.25">
      <c r="A244" s="6">
        <v>240</v>
      </c>
      <c r="B244" s="7" t="s">
        <v>90</v>
      </c>
      <c r="C244" s="6" t="s">
        <v>520</v>
      </c>
      <c r="D244" s="7" t="s">
        <v>756</v>
      </c>
      <c r="E244" s="7" t="s">
        <v>522</v>
      </c>
      <c r="F244" s="12">
        <v>42951</v>
      </c>
      <c r="G244" s="9">
        <v>309.60000000000002</v>
      </c>
      <c r="H244" s="6">
        <v>1</v>
      </c>
      <c r="I244" s="9">
        <v>309.60000000000002</v>
      </c>
    </row>
    <row r="245" spans="1:9" ht="14.25">
      <c r="A245" s="6">
        <v>241</v>
      </c>
      <c r="B245" s="7" t="s">
        <v>90</v>
      </c>
      <c r="C245" s="6" t="s">
        <v>520</v>
      </c>
      <c r="D245" s="7" t="s">
        <v>757</v>
      </c>
      <c r="E245" s="7" t="s">
        <v>522</v>
      </c>
      <c r="F245" s="12">
        <v>43175</v>
      </c>
      <c r="G245" s="9">
        <v>132</v>
      </c>
      <c r="H245" s="6">
        <v>1</v>
      </c>
      <c r="I245" s="9">
        <v>132</v>
      </c>
    </row>
    <row r="246" spans="1:9" ht="14.25">
      <c r="A246" s="6">
        <v>242</v>
      </c>
      <c r="B246" s="7" t="s">
        <v>90</v>
      </c>
      <c r="C246" s="6" t="s">
        <v>520</v>
      </c>
      <c r="D246" s="7" t="s">
        <v>758</v>
      </c>
      <c r="E246" s="7" t="s">
        <v>522</v>
      </c>
      <c r="F246" s="12">
        <v>43770</v>
      </c>
      <c r="G246" s="9">
        <v>459</v>
      </c>
      <c r="H246" s="6">
        <v>1</v>
      </c>
      <c r="I246" s="9">
        <v>459</v>
      </c>
    </row>
    <row r="247" spans="1:9" ht="14.25">
      <c r="A247" s="6">
        <v>243</v>
      </c>
      <c r="B247" s="7" t="s">
        <v>90</v>
      </c>
      <c r="C247" s="6" t="s">
        <v>520</v>
      </c>
      <c r="D247" s="7" t="s">
        <v>759</v>
      </c>
      <c r="E247" s="7" t="s">
        <v>522</v>
      </c>
      <c r="F247" s="12">
        <v>43595</v>
      </c>
      <c r="G247" s="9">
        <v>1485</v>
      </c>
      <c r="H247" s="6">
        <v>1</v>
      </c>
      <c r="I247" s="9">
        <v>1485</v>
      </c>
    </row>
    <row r="248" spans="1:9" ht="14.25">
      <c r="A248" s="6">
        <v>244</v>
      </c>
      <c r="B248" s="7" t="s">
        <v>90</v>
      </c>
      <c r="C248" s="6" t="s">
        <v>520</v>
      </c>
      <c r="D248" s="7" t="s">
        <v>760</v>
      </c>
      <c r="E248" s="7" t="s">
        <v>522</v>
      </c>
      <c r="F248" s="12">
        <v>43595</v>
      </c>
      <c r="G248" s="9">
        <v>2465</v>
      </c>
      <c r="H248" s="6">
        <v>1</v>
      </c>
      <c r="I248" s="9">
        <v>2465</v>
      </c>
    </row>
    <row r="249" spans="1:9" ht="14.25">
      <c r="A249" s="6">
        <v>245</v>
      </c>
      <c r="B249" s="7" t="s">
        <v>90</v>
      </c>
      <c r="C249" s="6" t="s">
        <v>520</v>
      </c>
      <c r="D249" s="7" t="s">
        <v>761</v>
      </c>
      <c r="E249" s="7" t="s">
        <v>522</v>
      </c>
      <c r="F249" s="12">
        <v>43728</v>
      </c>
      <c r="G249" s="9">
        <v>1694</v>
      </c>
      <c r="H249" s="6">
        <v>1</v>
      </c>
      <c r="I249" s="9">
        <v>1694</v>
      </c>
    </row>
    <row r="250" spans="1:9" ht="14.25">
      <c r="A250" s="6">
        <v>246</v>
      </c>
      <c r="B250" s="7" t="s">
        <v>90</v>
      </c>
      <c r="C250" s="6" t="s">
        <v>520</v>
      </c>
      <c r="D250" s="7" t="s">
        <v>762</v>
      </c>
      <c r="E250" s="7" t="s">
        <v>522</v>
      </c>
      <c r="F250" s="12">
        <v>43728</v>
      </c>
      <c r="G250" s="9">
        <v>1011</v>
      </c>
      <c r="H250" s="6">
        <v>1</v>
      </c>
      <c r="I250" s="9">
        <v>1011</v>
      </c>
    </row>
    <row r="251" spans="1:9" ht="14.25">
      <c r="A251" s="6">
        <v>247</v>
      </c>
      <c r="B251" s="7" t="s">
        <v>90</v>
      </c>
      <c r="C251" s="6" t="s">
        <v>520</v>
      </c>
      <c r="D251" s="7" t="s">
        <v>763</v>
      </c>
      <c r="E251" s="7" t="s">
        <v>522</v>
      </c>
      <c r="F251" s="12">
        <v>43595</v>
      </c>
      <c r="G251" s="9">
        <v>1737</v>
      </c>
      <c r="H251" s="6">
        <v>1</v>
      </c>
      <c r="I251" s="9">
        <v>1737</v>
      </c>
    </row>
    <row r="252" spans="1:9" ht="14.25">
      <c r="A252" s="6">
        <v>248</v>
      </c>
      <c r="B252" s="7" t="s">
        <v>90</v>
      </c>
      <c r="C252" s="6" t="s">
        <v>520</v>
      </c>
      <c r="D252" s="7" t="s">
        <v>764</v>
      </c>
      <c r="E252" s="7" t="s">
        <v>522</v>
      </c>
      <c r="F252" s="12">
        <v>43595</v>
      </c>
      <c r="G252" s="9">
        <v>2172</v>
      </c>
      <c r="H252" s="6">
        <v>1</v>
      </c>
      <c r="I252" s="9">
        <v>2172</v>
      </c>
    </row>
    <row r="253" spans="1:9" ht="14.25">
      <c r="A253" s="6">
        <v>249</v>
      </c>
      <c r="B253" s="7" t="s">
        <v>90</v>
      </c>
      <c r="C253" s="6" t="s">
        <v>520</v>
      </c>
      <c r="D253" s="7" t="s">
        <v>765</v>
      </c>
      <c r="E253" s="7" t="s">
        <v>522</v>
      </c>
      <c r="F253" s="12">
        <v>43990</v>
      </c>
      <c r="G253" s="9">
        <v>294</v>
      </c>
      <c r="H253" s="6">
        <v>1</v>
      </c>
      <c r="I253" s="9">
        <v>294</v>
      </c>
    </row>
    <row r="254" spans="1:9" ht="14.25">
      <c r="A254" s="6">
        <v>250</v>
      </c>
      <c r="B254" s="7" t="s">
        <v>90</v>
      </c>
      <c r="C254" s="6" t="s">
        <v>520</v>
      </c>
      <c r="D254" s="7" t="s">
        <v>766</v>
      </c>
      <c r="E254" s="7" t="s">
        <v>522</v>
      </c>
      <c r="F254" s="12">
        <v>44536</v>
      </c>
      <c r="G254" s="9">
        <v>1768</v>
      </c>
      <c r="H254" s="6">
        <v>1</v>
      </c>
      <c r="I254" s="9">
        <v>1768</v>
      </c>
    </row>
    <row r="255" spans="1:9" ht="14.25">
      <c r="A255" s="6">
        <v>251</v>
      </c>
      <c r="B255" s="7" t="s">
        <v>90</v>
      </c>
      <c r="C255" s="6" t="s">
        <v>520</v>
      </c>
      <c r="D255" s="7" t="s">
        <v>767</v>
      </c>
      <c r="E255" s="7" t="s">
        <v>522</v>
      </c>
      <c r="F255" s="12">
        <v>44341</v>
      </c>
      <c r="G255" s="9">
        <v>564</v>
      </c>
      <c r="H255" s="6">
        <v>1</v>
      </c>
      <c r="I255" s="9">
        <v>564</v>
      </c>
    </row>
    <row r="256" spans="1:9" ht="14.25">
      <c r="A256" s="6">
        <v>252</v>
      </c>
      <c r="B256" s="7" t="s">
        <v>90</v>
      </c>
      <c r="C256" s="6" t="s">
        <v>520</v>
      </c>
      <c r="D256" s="7" t="s">
        <v>768</v>
      </c>
      <c r="E256" s="7" t="s">
        <v>522</v>
      </c>
      <c r="F256" s="12">
        <v>44312</v>
      </c>
      <c r="G256" s="9">
        <v>221</v>
      </c>
      <c r="H256" s="6">
        <v>1</v>
      </c>
      <c r="I256" s="9">
        <v>221</v>
      </c>
    </row>
    <row r="257" spans="1:9" ht="14.25">
      <c r="A257" s="6">
        <v>253</v>
      </c>
      <c r="B257" s="7" t="s">
        <v>90</v>
      </c>
      <c r="C257" s="6" t="s">
        <v>520</v>
      </c>
      <c r="D257" s="7" t="s">
        <v>769</v>
      </c>
      <c r="E257" s="7" t="s">
        <v>522</v>
      </c>
      <c r="F257" s="12">
        <v>44518</v>
      </c>
      <c r="G257" s="9">
        <v>274.3</v>
      </c>
      <c r="H257" s="6">
        <v>1</v>
      </c>
      <c r="I257" s="9">
        <v>274.3</v>
      </c>
    </row>
    <row r="258" spans="1:9" ht="14.25">
      <c r="A258" s="6">
        <v>254</v>
      </c>
      <c r="B258" s="7" t="s">
        <v>90</v>
      </c>
      <c r="C258" s="6" t="s">
        <v>520</v>
      </c>
      <c r="D258" s="7" t="s">
        <v>770</v>
      </c>
      <c r="E258" s="7" t="s">
        <v>522</v>
      </c>
      <c r="F258" s="12">
        <v>45114</v>
      </c>
      <c r="G258" s="9">
        <v>512</v>
      </c>
      <c r="H258" s="6">
        <v>1</v>
      </c>
      <c r="I258" s="9">
        <v>512</v>
      </c>
    </row>
    <row r="259" spans="1:9" ht="14.25">
      <c r="A259" s="6">
        <v>255</v>
      </c>
      <c r="B259" s="7" t="s">
        <v>90</v>
      </c>
      <c r="C259" s="6" t="s">
        <v>520</v>
      </c>
      <c r="D259" s="7" t="s">
        <v>771</v>
      </c>
      <c r="E259" s="7" t="s">
        <v>522</v>
      </c>
      <c r="F259" s="12">
        <v>45245</v>
      </c>
      <c r="G259" s="9">
        <v>3622.4</v>
      </c>
      <c r="H259" s="6">
        <v>1</v>
      </c>
      <c r="I259" s="9">
        <v>3622.4</v>
      </c>
    </row>
    <row r="260" spans="1:9" ht="14.25">
      <c r="A260" s="6">
        <v>256</v>
      </c>
      <c r="B260" s="7" t="s">
        <v>90</v>
      </c>
      <c r="C260" s="6" t="s">
        <v>520</v>
      </c>
      <c r="D260" s="7" t="s">
        <v>772</v>
      </c>
      <c r="E260" s="7" t="s">
        <v>522</v>
      </c>
      <c r="F260" s="12">
        <v>45422</v>
      </c>
      <c r="G260" s="9">
        <v>206</v>
      </c>
      <c r="H260" s="6">
        <v>1</v>
      </c>
      <c r="I260" s="9">
        <v>206</v>
      </c>
    </row>
    <row r="261" spans="1:9" ht="14.25">
      <c r="A261" s="6">
        <v>257</v>
      </c>
      <c r="B261" s="7" t="s">
        <v>90</v>
      </c>
      <c r="C261" s="6" t="s">
        <v>520</v>
      </c>
      <c r="D261" s="7" t="s">
        <v>773</v>
      </c>
      <c r="E261" s="7" t="s">
        <v>522</v>
      </c>
      <c r="F261" s="12">
        <v>45616</v>
      </c>
      <c r="G261" s="9">
        <v>353.5</v>
      </c>
      <c r="H261" s="6">
        <v>1</v>
      </c>
      <c r="I261" s="9">
        <v>353.5</v>
      </c>
    </row>
    <row r="262" spans="1:9" ht="14.25">
      <c r="A262" s="6">
        <v>258</v>
      </c>
      <c r="B262" s="7" t="s">
        <v>90</v>
      </c>
      <c r="C262" s="6" t="s">
        <v>520</v>
      </c>
      <c r="D262" s="7" t="s">
        <v>774</v>
      </c>
      <c r="E262" s="7" t="s">
        <v>522</v>
      </c>
      <c r="F262" s="12">
        <v>45342</v>
      </c>
      <c r="G262" s="9">
        <v>1313.1</v>
      </c>
      <c r="H262" s="6">
        <v>1</v>
      </c>
      <c r="I262" s="9">
        <v>1313.1</v>
      </c>
    </row>
    <row r="263" spans="1:9" ht="14.25">
      <c r="A263" s="6">
        <v>259</v>
      </c>
      <c r="B263" s="7" t="s">
        <v>224</v>
      </c>
      <c r="C263" s="6" t="s">
        <v>520</v>
      </c>
      <c r="D263" s="7" t="s">
        <v>775</v>
      </c>
      <c r="E263" s="7" t="s">
        <v>522</v>
      </c>
      <c r="F263" s="12">
        <v>44000</v>
      </c>
      <c r="G263" s="9">
        <v>730</v>
      </c>
      <c r="H263" s="6">
        <v>1</v>
      </c>
      <c r="I263" s="9">
        <v>730</v>
      </c>
    </row>
    <row r="264" spans="1:9" ht="14.25">
      <c r="A264" s="6">
        <v>260</v>
      </c>
      <c r="B264" s="7" t="s">
        <v>224</v>
      </c>
      <c r="C264" s="6" t="s">
        <v>520</v>
      </c>
      <c r="D264" s="7" t="s">
        <v>776</v>
      </c>
      <c r="E264" s="7" t="s">
        <v>522</v>
      </c>
      <c r="F264" s="12">
        <v>44165</v>
      </c>
      <c r="G264" s="9">
        <v>600</v>
      </c>
      <c r="H264" s="6">
        <v>1</v>
      </c>
      <c r="I264" s="9">
        <v>600</v>
      </c>
    </row>
    <row r="265" spans="1:9" ht="14.25">
      <c r="A265" s="6">
        <v>261</v>
      </c>
      <c r="B265" s="7" t="s">
        <v>224</v>
      </c>
      <c r="C265" s="6" t="s">
        <v>520</v>
      </c>
      <c r="D265" s="7" t="s">
        <v>777</v>
      </c>
      <c r="E265" s="7" t="s">
        <v>522</v>
      </c>
      <c r="F265" s="12">
        <v>44544</v>
      </c>
      <c r="G265" s="9">
        <v>750</v>
      </c>
      <c r="H265" s="6">
        <v>1</v>
      </c>
      <c r="I265" s="9">
        <v>750</v>
      </c>
    </row>
    <row r="266" spans="1:9" ht="14.25">
      <c r="A266" s="6">
        <v>262</v>
      </c>
      <c r="B266" s="7" t="s">
        <v>224</v>
      </c>
      <c r="C266" s="6" t="s">
        <v>520</v>
      </c>
      <c r="D266" s="7" t="s">
        <v>778</v>
      </c>
      <c r="E266" s="7" t="s">
        <v>522</v>
      </c>
      <c r="F266" s="12">
        <v>44456</v>
      </c>
      <c r="G266" s="9">
        <v>180</v>
      </c>
      <c r="H266" s="6">
        <v>1</v>
      </c>
      <c r="I266" s="9">
        <v>180</v>
      </c>
    </row>
    <row r="267" spans="1:9" ht="14.25">
      <c r="A267" s="6">
        <v>263</v>
      </c>
      <c r="B267" s="7" t="s">
        <v>224</v>
      </c>
      <c r="C267" s="6" t="s">
        <v>520</v>
      </c>
      <c r="D267" s="7" t="s">
        <v>779</v>
      </c>
      <c r="E267" s="7" t="s">
        <v>522</v>
      </c>
      <c r="F267" s="12">
        <v>44440</v>
      </c>
      <c r="G267" s="9">
        <v>353</v>
      </c>
      <c r="H267" s="6">
        <v>1</v>
      </c>
      <c r="I267" s="9">
        <v>353</v>
      </c>
    </row>
    <row r="268" spans="1:9" ht="14.25">
      <c r="A268" s="6">
        <v>264</v>
      </c>
      <c r="B268" s="7" t="s">
        <v>224</v>
      </c>
      <c r="C268" s="6" t="s">
        <v>520</v>
      </c>
      <c r="D268" s="7" t="s">
        <v>780</v>
      </c>
      <c r="E268" s="7" t="s">
        <v>522</v>
      </c>
      <c r="F268" s="12">
        <v>44728</v>
      </c>
      <c r="G268" s="9">
        <v>1030</v>
      </c>
      <c r="H268" s="6">
        <v>1</v>
      </c>
      <c r="I268" s="9">
        <v>1030</v>
      </c>
    </row>
    <row r="269" spans="1:9" ht="14.25">
      <c r="A269" s="6">
        <v>265</v>
      </c>
      <c r="B269" s="7" t="s">
        <v>224</v>
      </c>
      <c r="C269" s="6" t="s">
        <v>520</v>
      </c>
      <c r="D269" s="7" t="s">
        <v>781</v>
      </c>
      <c r="E269" s="7" t="s">
        <v>522</v>
      </c>
      <c r="F269" s="12">
        <v>44774</v>
      </c>
      <c r="G269" s="9">
        <v>803</v>
      </c>
      <c r="H269" s="6">
        <v>1</v>
      </c>
      <c r="I269" s="9">
        <v>803</v>
      </c>
    </row>
    <row r="270" spans="1:9" ht="14.25">
      <c r="A270" s="6">
        <v>266</v>
      </c>
      <c r="B270" s="7" t="s">
        <v>224</v>
      </c>
      <c r="C270" s="6" t="s">
        <v>520</v>
      </c>
      <c r="D270" s="7" t="s">
        <v>782</v>
      </c>
      <c r="E270" s="7" t="s">
        <v>522</v>
      </c>
      <c r="F270" s="12">
        <v>44972</v>
      </c>
      <c r="G270" s="9">
        <v>750</v>
      </c>
      <c r="H270" s="6">
        <v>1</v>
      </c>
      <c r="I270" s="9">
        <v>750</v>
      </c>
    </row>
    <row r="271" spans="1:9" ht="14.25">
      <c r="A271" s="6">
        <v>267</v>
      </c>
      <c r="B271" s="7" t="s">
        <v>224</v>
      </c>
      <c r="C271" s="6" t="s">
        <v>520</v>
      </c>
      <c r="D271" s="7" t="s">
        <v>783</v>
      </c>
      <c r="E271" s="7" t="s">
        <v>522</v>
      </c>
      <c r="F271" s="12">
        <v>45496</v>
      </c>
      <c r="G271" s="9">
        <v>273</v>
      </c>
      <c r="H271" s="6">
        <v>1</v>
      </c>
      <c r="I271" s="9">
        <v>273</v>
      </c>
    </row>
    <row r="272" spans="1:9" ht="14.25">
      <c r="A272" s="6">
        <v>268</v>
      </c>
      <c r="B272" s="7" t="s">
        <v>224</v>
      </c>
      <c r="C272" s="6" t="s">
        <v>520</v>
      </c>
      <c r="D272" s="7" t="s">
        <v>784</v>
      </c>
      <c r="E272" s="7" t="s">
        <v>522</v>
      </c>
      <c r="F272" s="12">
        <v>45569</v>
      </c>
      <c r="G272" s="9">
        <v>410</v>
      </c>
      <c r="H272" s="6">
        <v>1</v>
      </c>
      <c r="I272" s="9">
        <v>410</v>
      </c>
    </row>
    <row r="273" spans="1:9" ht="14.25">
      <c r="A273" s="6">
        <v>269</v>
      </c>
      <c r="B273" s="7" t="s">
        <v>224</v>
      </c>
      <c r="C273" s="6" t="s">
        <v>520</v>
      </c>
      <c r="D273" s="7" t="s">
        <v>785</v>
      </c>
      <c r="E273" s="7" t="s">
        <v>522</v>
      </c>
      <c r="F273" s="12">
        <v>45456</v>
      </c>
      <c r="G273" s="9">
        <v>880</v>
      </c>
      <c r="H273" s="6">
        <v>2</v>
      </c>
      <c r="I273" s="9">
        <v>440</v>
      </c>
    </row>
    <row r="274" spans="1:9" ht="14.25">
      <c r="A274" s="6">
        <v>270</v>
      </c>
      <c r="B274" s="7" t="s">
        <v>500</v>
      </c>
      <c r="C274" s="6" t="s">
        <v>520</v>
      </c>
      <c r="D274" s="7" t="s">
        <v>786</v>
      </c>
      <c r="E274" s="7" t="s">
        <v>522</v>
      </c>
      <c r="F274" s="12">
        <v>45545</v>
      </c>
      <c r="G274" s="9">
        <v>70</v>
      </c>
      <c r="H274" s="6">
        <v>2</v>
      </c>
      <c r="I274" s="9">
        <v>35</v>
      </c>
    </row>
    <row r="275" spans="1:9" ht="14.25">
      <c r="A275" s="6">
        <v>271</v>
      </c>
      <c r="B275" s="7" t="s">
        <v>465</v>
      </c>
      <c r="C275" s="6" t="s">
        <v>520</v>
      </c>
      <c r="D275" s="7" t="s">
        <v>787</v>
      </c>
      <c r="E275" s="7" t="s">
        <v>522</v>
      </c>
      <c r="F275" s="12">
        <v>45495</v>
      </c>
      <c r="G275" s="9">
        <v>101</v>
      </c>
      <c r="H275" s="6">
        <v>1</v>
      </c>
      <c r="I275" s="9">
        <v>101</v>
      </c>
    </row>
    <row r="276" spans="1:9" ht="14.25">
      <c r="A276" s="6">
        <v>272</v>
      </c>
      <c r="B276" s="7" t="s">
        <v>452</v>
      </c>
      <c r="C276" s="6" t="s">
        <v>520</v>
      </c>
      <c r="D276" s="7" t="s">
        <v>788</v>
      </c>
      <c r="E276" s="7" t="s">
        <v>522</v>
      </c>
      <c r="F276" s="12">
        <v>45160</v>
      </c>
      <c r="G276" s="9">
        <v>108.1</v>
      </c>
      <c r="H276" s="6">
        <v>1</v>
      </c>
      <c r="I276" s="9">
        <v>108.1</v>
      </c>
    </row>
    <row r="277" spans="1:9" ht="14.25">
      <c r="A277" s="6">
        <v>273</v>
      </c>
      <c r="B277" s="7" t="s">
        <v>435</v>
      </c>
      <c r="C277" s="6" t="s">
        <v>520</v>
      </c>
      <c r="D277" s="7" t="s">
        <v>789</v>
      </c>
      <c r="E277" s="7" t="s">
        <v>528</v>
      </c>
      <c r="F277" s="12">
        <v>44476</v>
      </c>
      <c r="G277" s="9">
        <v>71</v>
      </c>
      <c r="H277" s="6">
        <v>1</v>
      </c>
      <c r="I277" s="9">
        <v>71</v>
      </c>
    </row>
    <row r="278" spans="1:9" ht="14.25">
      <c r="A278" s="6">
        <v>274</v>
      </c>
      <c r="B278" s="7" t="s">
        <v>435</v>
      </c>
      <c r="C278" s="6" t="s">
        <v>520</v>
      </c>
      <c r="D278" s="7" t="s">
        <v>790</v>
      </c>
      <c r="E278" s="7" t="s">
        <v>522</v>
      </c>
      <c r="F278" s="12">
        <v>44533</v>
      </c>
      <c r="G278" s="9">
        <v>111.1</v>
      </c>
      <c r="H278" s="6">
        <v>2</v>
      </c>
      <c r="I278" s="9">
        <v>55.6</v>
      </c>
    </row>
    <row r="279" spans="1:9" ht="14.25">
      <c r="A279" s="6">
        <v>275</v>
      </c>
      <c r="B279" s="7" t="s">
        <v>435</v>
      </c>
      <c r="C279" s="6" t="s">
        <v>520</v>
      </c>
      <c r="D279" s="7" t="s">
        <v>791</v>
      </c>
      <c r="E279" s="7" t="s">
        <v>522</v>
      </c>
      <c r="F279" s="12">
        <v>45121</v>
      </c>
      <c r="G279" s="9">
        <v>138.5</v>
      </c>
      <c r="H279" s="6">
        <v>1</v>
      </c>
      <c r="I279" s="9">
        <v>138.5</v>
      </c>
    </row>
    <row r="280" spans="1:9" ht="14.25">
      <c r="A280" s="6">
        <v>276</v>
      </c>
      <c r="B280" s="7" t="s">
        <v>439</v>
      </c>
      <c r="C280" s="6" t="s">
        <v>536</v>
      </c>
      <c r="D280" s="7" t="s">
        <v>693</v>
      </c>
      <c r="E280" s="7" t="s">
        <v>522</v>
      </c>
      <c r="F280" s="12">
        <v>44313</v>
      </c>
      <c r="G280" s="9">
        <v>255</v>
      </c>
      <c r="H280" s="6">
        <v>2</v>
      </c>
      <c r="I280" s="9">
        <v>127.5</v>
      </c>
    </row>
    <row r="281" spans="1:9" ht="14.25">
      <c r="A281" s="6">
        <v>277</v>
      </c>
      <c r="B281" s="7" t="s">
        <v>479</v>
      </c>
      <c r="C281" s="6" t="s">
        <v>536</v>
      </c>
      <c r="D281" s="7" t="s">
        <v>792</v>
      </c>
      <c r="E281" s="7" t="s">
        <v>522</v>
      </c>
      <c r="F281" s="12">
        <v>44565</v>
      </c>
      <c r="G281" s="9">
        <v>130</v>
      </c>
      <c r="H281" s="6">
        <v>2</v>
      </c>
      <c r="I281" s="9">
        <v>65</v>
      </c>
    </row>
    <row r="282" spans="1:9" ht="14.25">
      <c r="A282" s="6">
        <v>278</v>
      </c>
      <c r="B282" s="7" t="s">
        <v>324</v>
      </c>
      <c r="C282" s="6" t="s">
        <v>520</v>
      </c>
      <c r="D282" s="7" t="s">
        <v>793</v>
      </c>
      <c r="E282" s="7" t="s">
        <v>522</v>
      </c>
      <c r="F282" s="12">
        <v>45600</v>
      </c>
      <c r="G282" s="9">
        <v>523</v>
      </c>
      <c r="H282" s="6">
        <v>1</v>
      </c>
      <c r="I282" s="9">
        <v>523</v>
      </c>
    </row>
    <row r="283" spans="1:9" ht="14.25">
      <c r="A283" s="6">
        <v>279</v>
      </c>
      <c r="B283" s="7" t="s">
        <v>68</v>
      </c>
      <c r="C283" s="6" t="s">
        <v>536</v>
      </c>
      <c r="D283" s="7" t="s">
        <v>794</v>
      </c>
      <c r="E283" s="7" t="s">
        <v>522</v>
      </c>
      <c r="F283" s="12">
        <v>43266</v>
      </c>
      <c r="G283" s="9">
        <v>1500</v>
      </c>
      <c r="H283" s="6">
        <v>2</v>
      </c>
      <c r="I283" s="9">
        <v>750</v>
      </c>
    </row>
    <row r="284" spans="1:9" ht="14.25">
      <c r="A284" s="6">
        <v>280</v>
      </c>
      <c r="B284" s="7" t="s">
        <v>68</v>
      </c>
      <c r="C284" s="6" t="s">
        <v>520</v>
      </c>
      <c r="D284" s="7" t="s">
        <v>795</v>
      </c>
      <c r="E284" s="7" t="s">
        <v>522</v>
      </c>
      <c r="F284" s="12">
        <v>43899</v>
      </c>
      <c r="G284" s="9">
        <v>201</v>
      </c>
      <c r="H284" s="6">
        <v>1</v>
      </c>
      <c r="I284" s="9">
        <v>201</v>
      </c>
    </row>
    <row r="285" spans="1:9" ht="14.25">
      <c r="A285" s="6">
        <v>281</v>
      </c>
      <c r="B285" s="7" t="s">
        <v>68</v>
      </c>
      <c r="C285" s="6" t="s">
        <v>536</v>
      </c>
      <c r="D285" s="7" t="s">
        <v>796</v>
      </c>
      <c r="E285" s="7" t="s">
        <v>522</v>
      </c>
      <c r="F285" s="12">
        <v>44053</v>
      </c>
      <c r="G285" s="9">
        <v>1900</v>
      </c>
      <c r="H285" s="6">
        <v>2</v>
      </c>
      <c r="I285" s="9">
        <v>950</v>
      </c>
    </row>
    <row r="286" spans="1:9" ht="14.25">
      <c r="A286" s="6">
        <v>282</v>
      </c>
      <c r="B286" s="7" t="s">
        <v>68</v>
      </c>
      <c r="C286" s="6" t="s">
        <v>536</v>
      </c>
      <c r="D286" s="7" t="s">
        <v>797</v>
      </c>
      <c r="E286" s="7" t="s">
        <v>522</v>
      </c>
      <c r="F286" s="12">
        <v>44522</v>
      </c>
      <c r="G286" s="9">
        <v>143.6</v>
      </c>
      <c r="H286" s="6">
        <v>2</v>
      </c>
      <c r="I286" s="9">
        <v>71.8</v>
      </c>
    </row>
    <row r="287" spans="1:9" ht="14.25">
      <c r="A287" s="6">
        <v>283</v>
      </c>
      <c r="B287" s="7" t="s">
        <v>68</v>
      </c>
      <c r="C287" s="6" t="s">
        <v>520</v>
      </c>
      <c r="D287" s="7" t="s">
        <v>798</v>
      </c>
      <c r="E287" s="7" t="s">
        <v>522</v>
      </c>
      <c r="F287" s="12">
        <v>44862</v>
      </c>
      <c r="G287" s="9">
        <v>225</v>
      </c>
      <c r="H287" s="6">
        <v>1</v>
      </c>
      <c r="I287" s="9">
        <v>225</v>
      </c>
    </row>
    <row r="288" spans="1:9" ht="14.25">
      <c r="A288" s="6">
        <v>284</v>
      </c>
      <c r="B288" s="7" t="s">
        <v>68</v>
      </c>
      <c r="C288" s="6" t="s">
        <v>520</v>
      </c>
      <c r="D288" s="7" t="s">
        <v>577</v>
      </c>
      <c r="E288" s="7" t="s">
        <v>522</v>
      </c>
      <c r="F288" s="12">
        <v>44673</v>
      </c>
      <c r="G288" s="9">
        <v>516</v>
      </c>
      <c r="H288" s="6">
        <v>2</v>
      </c>
      <c r="I288" s="9">
        <v>258</v>
      </c>
    </row>
    <row r="289" spans="1:9" ht="14.25">
      <c r="A289" s="6">
        <v>285</v>
      </c>
      <c r="B289" s="7" t="s">
        <v>68</v>
      </c>
      <c r="C289" s="6" t="s">
        <v>520</v>
      </c>
      <c r="D289" s="7" t="s">
        <v>799</v>
      </c>
      <c r="E289" s="7" t="s">
        <v>522</v>
      </c>
      <c r="F289" s="12">
        <v>45135</v>
      </c>
      <c r="G289" s="9">
        <v>213</v>
      </c>
      <c r="H289" s="6">
        <v>1</v>
      </c>
      <c r="I289" s="9">
        <v>213</v>
      </c>
    </row>
    <row r="290" spans="1:9" ht="14.25">
      <c r="A290" s="6">
        <v>286</v>
      </c>
      <c r="B290" s="7" t="s">
        <v>68</v>
      </c>
      <c r="C290" s="6" t="s">
        <v>520</v>
      </c>
      <c r="D290" s="7" t="s">
        <v>800</v>
      </c>
      <c r="E290" s="7" t="s">
        <v>522</v>
      </c>
      <c r="F290" s="12">
        <v>45119</v>
      </c>
      <c r="G290" s="9">
        <v>475</v>
      </c>
      <c r="H290" s="6">
        <v>2</v>
      </c>
      <c r="I290" s="9">
        <v>237.5</v>
      </c>
    </row>
    <row r="291" spans="1:9" ht="14.25">
      <c r="A291" s="6">
        <v>287</v>
      </c>
      <c r="B291" s="7" t="s">
        <v>68</v>
      </c>
      <c r="C291" s="6" t="s">
        <v>520</v>
      </c>
      <c r="D291" s="7" t="s">
        <v>801</v>
      </c>
      <c r="E291" s="7" t="s">
        <v>522</v>
      </c>
      <c r="F291" s="12">
        <v>45506</v>
      </c>
      <c r="G291" s="9">
        <v>325</v>
      </c>
      <c r="H291" s="6">
        <v>2</v>
      </c>
      <c r="I291" s="9">
        <v>162.5</v>
      </c>
    </row>
    <row r="292" spans="1:9" ht="14.25">
      <c r="A292" s="6">
        <v>288</v>
      </c>
      <c r="B292" s="7" t="s">
        <v>68</v>
      </c>
      <c r="C292" s="6" t="s">
        <v>520</v>
      </c>
      <c r="D292" s="7" t="s">
        <v>802</v>
      </c>
      <c r="E292" s="7" t="s">
        <v>522</v>
      </c>
      <c r="F292" s="12">
        <v>45293</v>
      </c>
      <c r="G292" s="9">
        <v>4680</v>
      </c>
      <c r="H292" s="6">
        <v>1</v>
      </c>
      <c r="I292" s="9">
        <v>4680</v>
      </c>
    </row>
    <row r="293" spans="1:9" ht="14.25">
      <c r="A293" s="6">
        <v>289</v>
      </c>
      <c r="B293" s="7" t="s">
        <v>483</v>
      </c>
      <c r="C293" s="6" t="s">
        <v>520</v>
      </c>
      <c r="D293" s="7" t="s">
        <v>803</v>
      </c>
      <c r="E293" s="7" t="s">
        <v>522</v>
      </c>
      <c r="F293" s="12">
        <v>45377</v>
      </c>
      <c r="G293" s="9">
        <v>121</v>
      </c>
      <c r="H293" s="6">
        <v>2</v>
      </c>
      <c r="I293" s="9">
        <v>60.5</v>
      </c>
    </row>
    <row r="294" spans="1:9" ht="14.25">
      <c r="A294" s="6">
        <v>290</v>
      </c>
      <c r="B294" s="7" t="s">
        <v>483</v>
      </c>
      <c r="C294" s="6" t="s">
        <v>536</v>
      </c>
      <c r="D294" s="7" t="s">
        <v>786</v>
      </c>
      <c r="E294" s="7" t="s">
        <v>522</v>
      </c>
      <c r="F294" s="12">
        <v>45545</v>
      </c>
      <c r="G294" s="9">
        <v>70</v>
      </c>
      <c r="H294" s="6">
        <v>2</v>
      </c>
      <c r="I294" s="9">
        <v>35</v>
      </c>
    </row>
    <row r="295" spans="1:9" ht="14.25">
      <c r="A295" s="6">
        <v>291</v>
      </c>
      <c r="B295" s="7" t="s">
        <v>475</v>
      </c>
      <c r="C295" s="6" t="s">
        <v>536</v>
      </c>
      <c r="D295" s="7" t="s">
        <v>804</v>
      </c>
      <c r="E295" s="7" t="s">
        <v>522</v>
      </c>
      <c r="F295" s="12">
        <v>44643</v>
      </c>
      <c r="G295" s="9">
        <v>155</v>
      </c>
      <c r="H295" s="6">
        <v>2</v>
      </c>
      <c r="I295" s="9">
        <v>77.5</v>
      </c>
    </row>
    <row r="296" spans="1:9" ht="14.25">
      <c r="A296" s="6">
        <v>292</v>
      </c>
      <c r="B296" s="7" t="s">
        <v>411</v>
      </c>
      <c r="C296" s="6" t="s">
        <v>536</v>
      </c>
      <c r="D296" s="7" t="s">
        <v>805</v>
      </c>
      <c r="E296" s="7" t="s">
        <v>528</v>
      </c>
      <c r="F296" s="12">
        <v>44559</v>
      </c>
      <c r="G296" s="9">
        <v>407</v>
      </c>
      <c r="H296" s="6">
        <v>2</v>
      </c>
      <c r="I296" s="9">
        <v>203.5</v>
      </c>
    </row>
    <row r="297" spans="1:9" ht="14.25">
      <c r="A297" s="6">
        <v>293</v>
      </c>
      <c r="B297" s="7" t="s">
        <v>235</v>
      </c>
      <c r="C297" s="6" t="s">
        <v>520</v>
      </c>
      <c r="D297" s="7" t="s">
        <v>806</v>
      </c>
      <c r="E297" s="7" t="s">
        <v>522</v>
      </c>
      <c r="F297" s="12">
        <v>44235</v>
      </c>
      <c r="G297" s="9">
        <v>1000</v>
      </c>
      <c r="H297" s="6">
        <v>2</v>
      </c>
      <c r="I297" s="9">
        <v>500</v>
      </c>
    </row>
    <row r="298" spans="1:9" ht="14.25">
      <c r="A298" s="6">
        <v>294</v>
      </c>
      <c r="B298" s="7" t="s">
        <v>235</v>
      </c>
      <c r="C298" s="6" t="s">
        <v>520</v>
      </c>
      <c r="D298" s="7" t="s">
        <v>807</v>
      </c>
      <c r="E298" s="7" t="s">
        <v>522</v>
      </c>
      <c r="F298" s="12">
        <v>44609</v>
      </c>
      <c r="G298" s="9">
        <v>1000</v>
      </c>
      <c r="H298" s="6">
        <v>1</v>
      </c>
      <c r="I298" s="9">
        <v>1000</v>
      </c>
    </row>
    <row r="299" spans="1:9" ht="14.25">
      <c r="A299" s="6">
        <v>295</v>
      </c>
      <c r="B299" s="7" t="s">
        <v>235</v>
      </c>
      <c r="C299" s="6" t="s">
        <v>536</v>
      </c>
      <c r="D299" s="7" t="s">
        <v>808</v>
      </c>
      <c r="E299" s="7" t="s">
        <v>522</v>
      </c>
      <c r="F299" s="12">
        <v>44818</v>
      </c>
      <c r="G299" s="9">
        <v>1240</v>
      </c>
      <c r="H299" s="6">
        <v>3</v>
      </c>
      <c r="I299" s="9">
        <v>413.3</v>
      </c>
    </row>
    <row r="300" spans="1:9" ht="14.25">
      <c r="A300" s="6">
        <v>296</v>
      </c>
      <c r="B300" s="7" t="s">
        <v>145</v>
      </c>
      <c r="C300" s="6" t="s">
        <v>520</v>
      </c>
      <c r="D300" s="7" t="s">
        <v>809</v>
      </c>
      <c r="E300" s="7" t="s">
        <v>522</v>
      </c>
      <c r="F300" s="12">
        <v>43868</v>
      </c>
      <c r="G300" s="9">
        <v>2000</v>
      </c>
      <c r="H300" s="6">
        <v>1</v>
      </c>
      <c r="I300" s="9">
        <v>2000</v>
      </c>
    </row>
    <row r="301" spans="1:9" ht="14.25">
      <c r="A301" s="6">
        <v>297</v>
      </c>
      <c r="B301" s="7" t="s">
        <v>145</v>
      </c>
      <c r="C301" s="6" t="s">
        <v>520</v>
      </c>
      <c r="D301" s="7" t="s">
        <v>810</v>
      </c>
      <c r="E301" s="7" t="s">
        <v>522</v>
      </c>
      <c r="F301" s="12">
        <v>44727</v>
      </c>
      <c r="G301" s="9">
        <v>500</v>
      </c>
      <c r="H301" s="6">
        <v>1</v>
      </c>
      <c r="I301" s="9">
        <v>500</v>
      </c>
    </row>
    <row r="302" spans="1:9" ht="14.25">
      <c r="A302" s="6">
        <v>298</v>
      </c>
      <c r="B302" s="7" t="s">
        <v>145</v>
      </c>
      <c r="C302" s="6" t="s">
        <v>536</v>
      </c>
      <c r="D302" s="7" t="s">
        <v>811</v>
      </c>
      <c r="E302" s="7" t="s">
        <v>522</v>
      </c>
      <c r="F302" s="12">
        <v>45632</v>
      </c>
      <c r="G302" s="9">
        <v>1106</v>
      </c>
      <c r="H302" s="6">
        <v>2</v>
      </c>
      <c r="I302" s="9">
        <v>553</v>
      </c>
    </row>
    <row r="303" spans="1:9" ht="14.25">
      <c r="A303" s="6">
        <v>299</v>
      </c>
      <c r="B303" s="7" t="s">
        <v>320</v>
      </c>
      <c r="C303" s="6" t="s">
        <v>536</v>
      </c>
      <c r="D303" s="7" t="s">
        <v>812</v>
      </c>
      <c r="E303" s="7" t="s">
        <v>522</v>
      </c>
      <c r="F303" s="12">
        <v>45443</v>
      </c>
      <c r="G303" s="9">
        <v>1060</v>
      </c>
      <c r="H303" s="6">
        <v>2</v>
      </c>
      <c r="I303" s="9">
        <v>530</v>
      </c>
    </row>
    <row r="304" spans="1:9" ht="14.25">
      <c r="A304" s="6">
        <v>300</v>
      </c>
      <c r="B304" s="7" t="s">
        <v>274</v>
      </c>
      <c r="C304" s="6" t="s">
        <v>520</v>
      </c>
      <c r="D304" s="7" t="s">
        <v>813</v>
      </c>
      <c r="E304" s="7" t="s">
        <v>544</v>
      </c>
      <c r="F304" s="12">
        <v>44098</v>
      </c>
      <c r="G304" s="9">
        <v>200</v>
      </c>
      <c r="H304" s="6">
        <v>1</v>
      </c>
      <c r="I304" s="9">
        <v>200</v>
      </c>
    </row>
    <row r="305" spans="1:9" ht="14.25">
      <c r="A305" s="6">
        <v>301</v>
      </c>
      <c r="B305" s="7" t="s">
        <v>274</v>
      </c>
      <c r="C305" s="6" t="s">
        <v>520</v>
      </c>
      <c r="D305" s="7" t="s">
        <v>814</v>
      </c>
      <c r="E305" s="7" t="s">
        <v>522</v>
      </c>
      <c r="F305" s="12">
        <v>44764</v>
      </c>
      <c r="G305" s="9">
        <v>750</v>
      </c>
      <c r="H305" s="6">
        <v>1</v>
      </c>
      <c r="I305" s="9">
        <v>750</v>
      </c>
    </row>
    <row r="306" spans="1:9" ht="14.25">
      <c r="A306" s="6">
        <v>302</v>
      </c>
      <c r="B306" s="7" t="s">
        <v>50</v>
      </c>
      <c r="C306" s="6" t="s">
        <v>520</v>
      </c>
      <c r="D306" s="7" t="s">
        <v>815</v>
      </c>
      <c r="E306" s="7" t="s">
        <v>522</v>
      </c>
      <c r="F306" s="12">
        <v>42739</v>
      </c>
      <c r="G306" s="9">
        <v>83.9</v>
      </c>
      <c r="H306" s="6">
        <v>1</v>
      </c>
      <c r="I306" s="9">
        <v>83.9</v>
      </c>
    </row>
    <row r="307" spans="1:9" ht="14.25">
      <c r="A307" s="6">
        <v>303</v>
      </c>
      <c r="B307" s="7" t="s">
        <v>50</v>
      </c>
      <c r="C307" s="6" t="s">
        <v>520</v>
      </c>
      <c r="D307" s="7" t="s">
        <v>816</v>
      </c>
      <c r="E307" s="7" t="s">
        <v>522</v>
      </c>
      <c r="F307" s="12">
        <v>43808</v>
      </c>
      <c r="G307" s="9">
        <v>550</v>
      </c>
      <c r="H307" s="6">
        <v>2</v>
      </c>
      <c r="I307" s="9">
        <v>275</v>
      </c>
    </row>
    <row r="308" spans="1:9" ht="14.25">
      <c r="A308" s="6">
        <v>304</v>
      </c>
      <c r="B308" s="7" t="s">
        <v>50</v>
      </c>
      <c r="C308" s="6" t="s">
        <v>520</v>
      </c>
      <c r="D308" s="7" t="s">
        <v>817</v>
      </c>
      <c r="E308" s="7" t="s">
        <v>522</v>
      </c>
      <c r="F308" s="12">
        <v>44229</v>
      </c>
      <c r="G308" s="9">
        <v>1301</v>
      </c>
      <c r="H308" s="6">
        <v>1</v>
      </c>
      <c r="I308" s="9">
        <v>1301</v>
      </c>
    </row>
    <row r="309" spans="1:9" ht="14.25">
      <c r="A309" s="6">
        <v>305</v>
      </c>
      <c r="B309" s="7" t="s">
        <v>50</v>
      </c>
      <c r="C309" s="6" t="s">
        <v>520</v>
      </c>
      <c r="D309" s="7" t="s">
        <v>818</v>
      </c>
      <c r="E309" s="7" t="s">
        <v>522</v>
      </c>
      <c r="F309" s="12">
        <v>44385</v>
      </c>
      <c r="G309" s="9">
        <v>4715</v>
      </c>
      <c r="H309" s="6">
        <v>1</v>
      </c>
      <c r="I309" s="9">
        <v>4715</v>
      </c>
    </row>
    <row r="310" spans="1:9" ht="14.25">
      <c r="A310" s="6">
        <v>306</v>
      </c>
      <c r="B310" s="7" t="s">
        <v>50</v>
      </c>
      <c r="C310" s="6" t="s">
        <v>520</v>
      </c>
      <c r="D310" s="7" t="s">
        <v>819</v>
      </c>
      <c r="E310" s="7" t="s">
        <v>522</v>
      </c>
      <c r="F310" s="12">
        <v>44330</v>
      </c>
      <c r="G310" s="9">
        <v>6192</v>
      </c>
      <c r="H310" s="6">
        <v>1</v>
      </c>
      <c r="I310" s="9">
        <v>6192</v>
      </c>
    </row>
    <row r="311" spans="1:9" ht="14.25">
      <c r="A311" s="6">
        <v>307</v>
      </c>
      <c r="B311" s="7" t="s">
        <v>50</v>
      </c>
      <c r="C311" s="6" t="s">
        <v>520</v>
      </c>
      <c r="D311" s="7" t="s">
        <v>820</v>
      </c>
      <c r="E311" s="7" t="s">
        <v>522</v>
      </c>
      <c r="F311" s="12">
        <v>44757</v>
      </c>
      <c r="G311" s="9">
        <v>750</v>
      </c>
      <c r="H311" s="6">
        <v>1</v>
      </c>
      <c r="I311" s="9">
        <v>750</v>
      </c>
    </row>
    <row r="312" spans="1:9" ht="14.25">
      <c r="A312" s="6">
        <v>308</v>
      </c>
      <c r="B312" s="7" t="s">
        <v>217</v>
      </c>
      <c r="C312" s="6" t="s">
        <v>520</v>
      </c>
      <c r="D312" s="7" t="s">
        <v>821</v>
      </c>
      <c r="E312" s="7" t="s">
        <v>544</v>
      </c>
      <c r="F312" s="12">
        <v>44167</v>
      </c>
      <c r="G312" s="9">
        <v>2090</v>
      </c>
      <c r="H312" s="6">
        <v>2</v>
      </c>
      <c r="I312" s="9">
        <v>1045</v>
      </c>
    </row>
    <row r="313" spans="1:9" ht="14.25">
      <c r="A313" s="6">
        <v>309</v>
      </c>
      <c r="B313" s="7" t="s">
        <v>217</v>
      </c>
      <c r="C313" s="6" t="s">
        <v>520</v>
      </c>
      <c r="D313" s="7" t="s">
        <v>822</v>
      </c>
      <c r="E313" s="7" t="s">
        <v>544</v>
      </c>
      <c r="F313" s="12">
        <v>44881</v>
      </c>
      <c r="G313" s="9">
        <v>1449</v>
      </c>
      <c r="H313" s="6">
        <v>2</v>
      </c>
      <c r="I313" s="9">
        <v>724.5</v>
      </c>
    </row>
    <row r="314" spans="1:9" ht="14.25">
      <c r="A314" s="6">
        <v>310</v>
      </c>
      <c r="B314" s="7" t="s">
        <v>414</v>
      </c>
      <c r="C314" s="6" t="s">
        <v>520</v>
      </c>
      <c r="D314" s="7" t="s">
        <v>823</v>
      </c>
      <c r="E314" s="7" t="s">
        <v>522</v>
      </c>
      <c r="F314" s="12">
        <v>43166</v>
      </c>
      <c r="G314" s="9">
        <v>200</v>
      </c>
      <c r="H314" s="6">
        <v>1</v>
      </c>
      <c r="I314" s="9">
        <v>200</v>
      </c>
    </row>
    <row r="315" spans="1:9" ht="14.25">
      <c r="A315" s="6">
        <v>311</v>
      </c>
      <c r="B315" s="7" t="s">
        <v>414</v>
      </c>
      <c r="C315" s="6" t="s">
        <v>520</v>
      </c>
      <c r="D315" s="7" t="s">
        <v>824</v>
      </c>
      <c r="E315" s="7" t="s">
        <v>522</v>
      </c>
      <c r="F315" s="12">
        <v>43598</v>
      </c>
      <c r="G315" s="9">
        <v>100</v>
      </c>
      <c r="H315" s="6">
        <v>1</v>
      </c>
      <c r="I315" s="9">
        <v>100</v>
      </c>
    </row>
    <row r="316" spans="1:9" ht="14.25">
      <c r="A316" s="6">
        <v>312</v>
      </c>
      <c r="B316" s="7" t="s">
        <v>414</v>
      </c>
      <c r="C316" s="6" t="s">
        <v>536</v>
      </c>
      <c r="D316" s="7" t="s">
        <v>825</v>
      </c>
      <c r="E316" s="7" t="s">
        <v>522</v>
      </c>
      <c r="F316" s="12">
        <v>44270</v>
      </c>
      <c r="G316" s="9">
        <v>237.5</v>
      </c>
      <c r="H316" s="6">
        <v>2</v>
      </c>
      <c r="I316" s="9">
        <v>118.8</v>
      </c>
    </row>
    <row r="317" spans="1:9" ht="14.25">
      <c r="A317" s="6">
        <v>313</v>
      </c>
      <c r="B317" s="7" t="s">
        <v>414</v>
      </c>
      <c r="C317" s="6" t="s">
        <v>520</v>
      </c>
      <c r="D317" s="7" t="s">
        <v>826</v>
      </c>
      <c r="E317" s="7" t="s">
        <v>522</v>
      </c>
      <c r="F317" s="12">
        <v>44902</v>
      </c>
      <c r="G317" s="9">
        <v>38</v>
      </c>
      <c r="H317" s="6">
        <v>1</v>
      </c>
      <c r="I317" s="9">
        <v>38</v>
      </c>
    </row>
    <row r="318" spans="1:9" ht="14.25">
      <c r="A318" s="6">
        <v>314</v>
      </c>
      <c r="B318" s="7" t="s">
        <v>414</v>
      </c>
      <c r="C318" s="6" t="s">
        <v>520</v>
      </c>
      <c r="D318" s="7" t="s">
        <v>827</v>
      </c>
      <c r="E318" s="7" t="s">
        <v>522</v>
      </c>
      <c r="F318" s="12">
        <v>45128</v>
      </c>
      <c r="G318" s="9">
        <v>100</v>
      </c>
      <c r="H318" s="6">
        <v>1</v>
      </c>
      <c r="I318" s="9">
        <v>100</v>
      </c>
    </row>
    <row r="319" spans="1:9" ht="14.25">
      <c r="A319" s="6">
        <v>315</v>
      </c>
      <c r="B319" s="7" t="s">
        <v>26</v>
      </c>
      <c r="C319" s="6" t="s">
        <v>520</v>
      </c>
      <c r="D319" s="7" t="s">
        <v>828</v>
      </c>
      <c r="E319" s="7" t="s">
        <v>522</v>
      </c>
      <c r="F319" s="12">
        <v>44148</v>
      </c>
      <c r="G319" s="9">
        <v>3151</v>
      </c>
      <c r="H319" s="6">
        <v>1</v>
      </c>
      <c r="I319" s="9">
        <v>3151</v>
      </c>
    </row>
    <row r="320" spans="1:9" ht="14.25">
      <c r="A320" s="6">
        <v>316</v>
      </c>
      <c r="B320" s="7" t="s">
        <v>26</v>
      </c>
      <c r="C320" s="6" t="s">
        <v>520</v>
      </c>
      <c r="D320" s="7" t="s">
        <v>829</v>
      </c>
      <c r="E320" s="7" t="s">
        <v>522</v>
      </c>
      <c r="F320" s="12">
        <v>44074</v>
      </c>
      <c r="G320" s="9">
        <v>4592</v>
      </c>
      <c r="H320" s="6">
        <v>1</v>
      </c>
      <c r="I320" s="9">
        <v>4592</v>
      </c>
    </row>
    <row r="321" spans="1:9" ht="14.25">
      <c r="A321" s="6">
        <v>317</v>
      </c>
      <c r="B321" s="7" t="s">
        <v>26</v>
      </c>
      <c r="C321" s="6" t="s">
        <v>520</v>
      </c>
      <c r="D321" s="7" t="s">
        <v>830</v>
      </c>
      <c r="E321" s="7" t="s">
        <v>522</v>
      </c>
      <c r="F321" s="12">
        <v>44120</v>
      </c>
      <c r="G321" s="9">
        <v>1888</v>
      </c>
      <c r="H321" s="6">
        <v>1</v>
      </c>
      <c r="I321" s="9">
        <v>1888</v>
      </c>
    </row>
    <row r="322" spans="1:9" ht="14.25">
      <c r="A322" s="6">
        <v>318</v>
      </c>
      <c r="B322" s="7" t="s">
        <v>26</v>
      </c>
      <c r="C322" s="6" t="s">
        <v>520</v>
      </c>
      <c r="D322" s="7" t="s">
        <v>831</v>
      </c>
      <c r="E322" s="7" t="s">
        <v>522</v>
      </c>
      <c r="F322" s="12">
        <v>44148</v>
      </c>
      <c r="G322" s="9">
        <v>3420</v>
      </c>
      <c r="H322" s="6">
        <v>1</v>
      </c>
      <c r="I322" s="9">
        <v>3420</v>
      </c>
    </row>
    <row r="323" spans="1:9" ht="14.25">
      <c r="A323" s="6">
        <v>319</v>
      </c>
      <c r="B323" s="7" t="s">
        <v>26</v>
      </c>
      <c r="C323" s="6" t="s">
        <v>520</v>
      </c>
      <c r="D323" s="7" t="s">
        <v>832</v>
      </c>
      <c r="E323" s="7" t="s">
        <v>522</v>
      </c>
      <c r="F323" s="12">
        <v>44118</v>
      </c>
      <c r="G323" s="9">
        <v>3001</v>
      </c>
      <c r="H323" s="6">
        <v>1</v>
      </c>
      <c r="I323" s="9">
        <v>3001</v>
      </c>
    </row>
    <row r="324" spans="1:9" ht="14.25">
      <c r="A324" s="6">
        <v>320</v>
      </c>
      <c r="B324" s="7" t="s">
        <v>26</v>
      </c>
      <c r="C324" s="6" t="s">
        <v>520</v>
      </c>
      <c r="D324" s="7" t="s">
        <v>833</v>
      </c>
      <c r="E324" s="7" t="s">
        <v>522</v>
      </c>
      <c r="F324" s="12">
        <v>44931</v>
      </c>
      <c r="G324" s="9">
        <v>12245</v>
      </c>
      <c r="H324" s="6">
        <v>1</v>
      </c>
      <c r="I324" s="9">
        <v>12245</v>
      </c>
    </row>
    <row r="325" spans="1:9" ht="14.25">
      <c r="A325" s="6">
        <v>321</v>
      </c>
      <c r="B325" s="7" t="s">
        <v>321</v>
      </c>
      <c r="C325" s="6" t="s">
        <v>520</v>
      </c>
      <c r="D325" s="7" t="s">
        <v>834</v>
      </c>
      <c r="E325" s="7" t="s">
        <v>528</v>
      </c>
      <c r="F325" s="12">
        <v>43270</v>
      </c>
      <c r="G325" s="9">
        <v>205.2</v>
      </c>
      <c r="H325" s="6">
        <v>1</v>
      </c>
      <c r="I325" s="9">
        <v>205.2</v>
      </c>
    </row>
    <row r="326" spans="1:9" ht="14.25">
      <c r="A326" s="6">
        <v>322</v>
      </c>
      <c r="B326" s="7" t="s">
        <v>321</v>
      </c>
      <c r="C326" s="6" t="s">
        <v>520</v>
      </c>
      <c r="D326" s="7" t="s">
        <v>835</v>
      </c>
      <c r="E326" s="7" t="s">
        <v>528</v>
      </c>
      <c r="F326" s="12">
        <v>43823</v>
      </c>
      <c r="G326" s="9">
        <v>410</v>
      </c>
      <c r="H326" s="6">
        <v>1</v>
      </c>
      <c r="I326" s="9">
        <v>410</v>
      </c>
    </row>
    <row r="327" spans="1:9" ht="14.25">
      <c r="A327" s="6">
        <v>323</v>
      </c>
      <c r="B327" s="7" t="s">
        <v>321</v>
      </c>
      <c r="C327" s="6" t="s">
        <v>520</v>
      </c>
      <c r="D327" s="7" t="s">
        <v>836</v>
      </c>
      <c r="E327" s="7" t="s">
        <v>528</v>
      </c>
      <c r="F327" s="12">
        <v>44631</v>
      </c>
      <c r="G327" s="9">
        <v>530</v>
      </c>
      <c r="H327" s="6">
        <v>1</v>
      </c>
      <c r="I327" s="9">
        <v>530</v>
      </c>
    </row>
    <row r="328" spans="1:9" ht="14.25">
      <c r="A328" s="6">
        <v>324</v>
      </c>
      <c r="B328" s="7" t="s">
        <v>476</v>
      </c>
      <c r="C328" s="6" t="s">
        <v>520</v>
      </c>
      <c r="D328" s="7" t="s">
        <v>837</v>
      </c>
      <c r="E328" s="7" t="s">
        <v>544</v>
      </c>
      <c r="F328" s="12">
        <v>44406</v>
      </c>
      <c r="G328" s="9">
        <v>154.19999999999999</v>
      </c>
      <c r="H328" s="6">
        <v>2</v>
      </c>
      <c r="I328" s="9">
        <v>77.099999999999994</v>
      </c>
    </row>
    <row r="329" spans="1:9" ht="14.25">
      <c r="A329" s="6">
        <v>325</v>
      </c>
      <c r="B329" s="7" t="s">
        <v>182</v>
      </c>
      <c r="C329" s="6" t="s">
        <v>520</v>
      </c>
      <c r="D329" s="7" t="s">
        <v>838</v>
      </c>
      <c r="E329" s="7" t="s">
        <v>522</v>
      </c>
      <c r="F329" s="12">
        <v>44678</v>
      </c>
      <c r="G329" s="9">
        <v>1392</v>
      </c>
      <c r="H329" s="6">
        <v>1</v>
      </c>
      <c r="I329" s="9">
        <v>1392</v>
      </c>
    </row>
    <row r="330" spans="1:9" ht="14.25">
      <c r="A330" s="6">
        <v>326</v>
      </c>
      <c r="B330" s="7" t="s">
        <v>182</v>
      </c>
      <c r="C330" s="6" t="s">
        <v>520</v>
      </c>
      <c r="D330" s="7" t="s">
        <v>839</v>
      </c>
      <c r="E330" s="7" t="s">
        <v>522</v>
      </c>
      <c r="F330" s="12">
        <v>44966</v>
      </c>
      <c r="G330" s="9">
        <v>753</v>
      </c>
      <c r="H330" s="6">
        <v>1</v>
      </c>
      <c r="I330" s="9">
        <v>753</v>
      </c>
    </row>
    <row r="331" spans="1:9" ht="14.25">
      <c r="A331" s="6">
        <v>327</v>
      </c>
      <c r="B331" s="7" t="s">
        <v>279</v>
      </c>
      <c r="C331" s="6" t="s">
        <v>536</v>
      </c>
      <c r="D331" s="7" t="s">
        <v>722</v>
      </c>
      <c r="E331" s="7" t="s">
        <v>522</v>
      </c>
      <c r="F331" s="12">
        <v>44250</v>
      </c>
      <c r="G331" s="9">
        <v>1461</v>
      </c>
      <c r="H331" s="6">
        <v>2</v>
      </c>
      <c r="I331" s="9">
        <v>730.5</v>
      </c>
    </row>
    <row r="332" spans="1:9" ht="14.25">
      <c r="A332" s="6">
        <v>328</v>
      </c>
      <c r="B332" s="7" t="s">
        <v>257</v>
      </c>
      <c r="C332" s="6" t="s">
        <v>520</v>
      </c>
      <c r="D332" s="7" t="s">
        <v>840</v>
      </c>
      <c r="E332" s="7" t="s">
        <v>522</v>
      </c>
      <c r="F332" s="12">
        <v>43719</v>
      </c>
      <c r="G332" s="9">
        <v>25.5</v>
      </c>
      <c r="H332" s="6">
        <v>2</v>
      </c>
      <c r="I332" s="9">
        <v>12.7</v>
      </c>
    </row>
    <row r="333" spans="1:9" ht="14.25">
      <c r="A333" s="6">
        <v>329</v>
      </c>
      <c r="B333" s="7" t="s">
        <v>257</v>
      </c>
      <c r="C333" s="6" t="s">
        <v>536</v>
      </c>
      <c r="D333" s="7" t="s">
        <v>841</v>
      </c>
      <c r="E333" s="7" t="s">
        <v>522</v>
      </c>
      <c r="F333" s="12">
        <v>43711</v>
      </c>
      <c r="G333" s="9">
        <v>1265</v>
      </c>
      <c r="H333" s="6">
        <v>2</v>
      </c>
      <c r="I333" s="9">
        <v>632.5</v>
      </c>
    </row>
    <row r="334" spans="1:9" ht="14.25">
      <c r="A334" s="6">
        <v>330</v>
      </c>
      <c r="B334" s="7" t="s">
        <v>257</v>
      </c>
      <c r="C334" s="6" t="s">
        <v>520</v>
      </c>
      <c r="D334" s="7" t="s">
        <v>842</v>
      </c>
      <c r="E334" s="7" t="s">
        <v>522</v>
      </c>
      <c r="F334" s="12">
        <v>44440</v>
      </c>
      <c r="G334" s="9">
        <v>156.6</v>
      </c>
      <c r="H334" s="6">
        <v>2</v>
      </c>
      <c r="I334" s="9">
        <v>78.3</v>
      </c>
    </row>
    <row r="335" spans="1:9" ht="14.25">
      <c r="A335" s="6">
        <v>331</v>
      </c>
      <c r="B335" s="7" t="s">
        <v>257</v>
      </c>
      <c r="C335" s="6" t="s">
        <v>536</v>
      </c>
      <c r="D335" s="7" t="s">
        <v>843</v>
      </c>
      <c r="E335" s="7" t="s">
        <v>522</v>
      </c>
      <c r="F335" s="12">
        <v>44525</v>
      </c>
      <c r="G335" s="9">
        <v>1636.6</v>
      </c>
      <c r="H335" s="6">
        <v>2</v>
      </c>
      <c r="I335" s="9">
        <v>818.3</v>
      </c>
    </row>
    <row r="336" spans="1:9" ht="14.25">
      <c r="A336" s="6">
        <v>332</v>
      </c>
      <c r="B336" s="7" t="s">
        <v>88</v>
      </c>
      <c r="C336" s="6" t="s">
        <v>520</v>
      </c>
      <c r="D336" s="7" t="s">
        <v>844</v>
      </c>
      <c r="E336" s="7" t="s">
        <v>522</v>
      </c>
      <c r="F336" s="12">
        <v>42759</v>
      </c>
      <c r="G336" s="9">
        <v>1670</v>
      </c>
      <c r="H336" s="6">
        <v>2</v>
      </c>
      <c r="I336" s="9">
        <v>835</v>
      </c>
    </row>
    <row r="337" spans="1:9" ht="14.25">
      <c r="A337" s="6">
        <v>333</v>
      </c>
      <c r="B337" s="7" t="s">
        <v>88</v>
      </c>
      <c r="C337" s="6" t="s">
        <v>536</v>
      </c>
      <c r="D337" s="7" t="s">
        <v>845</v>
      </c>
      <c r="E337" s="7" t="s">
        <v>522</v>
      </c>
      <c r="F337" s="12">
        <v>43465</v>
      </c>
      <c r="G337" s="9">
        <v>2403</v>
      </c>
      <c r="H337" s="6">
        <v>2</v>
      </c>
      <c r="I337" s="9">
        <v>1201.5</v>
      </c>
    </row>
    <row r="338" spans="1:9" ht="14.25">
      <c r="A338" s="6">
        <v>334</v>
      </c>
      <c r="B338" s="7" t="s">
        <v>88</v>
      </c>
      <c r="C338" s="6" t="s">
        <v>536</v>
      </c>
      <c r="D338" s="7" t="s">
        <v>846</v>
      </c>
      <c r="E338" s="7" t="s">
        <v>522</v>
      </c>
      <c r="F338" s="12">
        <v>43804</v>
      </c>
      <c r="G338" s="9">
        <v>7350</v>
      </c>
      <c r="H338" s="6">
        <v>2</v>
      </c>
      <c r="I338" s="9">
        <v>3675</v>
      </c>
    </row>
    <row r="339" spans="1:9" ht="14.25">
      <c r="A339" s="6">
        <v>335</v>
      </c>
      <c r="B339" s="7" t="s">
        <v>88</v>
      </c>
      <c r="C339" s="6" t="s">
        <v>520</v>
      </c>
      <c r="D339" s="7" t="s">
        <v>847</v>
      </c>
      <c r="E339" s="7" t="s">
        <v>522</v>
      </c>
      <c r="F339" s="12">
        <v>43861</v>
      </c>
      <c r="G339" s="9">
        <v>3060</v>
      </c>
      <c r="H339" s="6">
        <v>1</v>
      </c>
      <c r="I339" s="9">
        <v>3060</v>
      </c>
    </row>
    <row r="340" spans="1:9" ht="14.25">
      <c r="A340" s="6">
        <v>336</v>
      </c>
      <c r="B340" s="7" t="s">
        <v>88</v>
      </c>
      <c r="C340" s="6" t="s">
        <v>520</v>
      </c>
      <c r="D340" s="7" t="s">
        <v>848</v>
      </c>
      <c r="E340" s="7" t="s">
        <v>522</v>
      </c>
      <c r="F340" s="12">
        <v>43885</v>
      </c>
      <c r="G340" s="9">
        <v>1050</v>
      </c>
      <c r="H340" s="6">
        <v>1</v>
      </c>
      <c r="I340" s="9">
        <v>1050</v>
      </c>
    </row>
    <row r="341" spans="1:9" ht="14.25">
      <c r="A341" s="6">
        <v>337</v>
      </c>
      <c r="B341" s="7" t="s">
        <v>88</v>
      </c>
      <c r="C341" s="6" t="s">
        <v>520</v>
      </c>
      <c r="D341" s="7" t="s">
        <v>849</v>
      </c>
      <c r="E341" s="7" t="s">
        <v>522</v>
      </c>
      <c r="F341" s="12">
        <v>44855</v>
      </c>
      <c r="G341" s="9">
        <v>265</v>
      </c>
      <c r="H341" s="6">
        <v>1</v>
      </c>
      <c r="I341" s="9">
        <v>265</v>
      </c>
    </row>
    <row r="342" spans="1:9" ht="14.25">
      <c r="A342" s="6">
        <v>338</v>
      </c>
      <c r="B342" s="7" t="s">
        <v>88</v>
      </c>
      <c r="C342" s="6" t="s">
        <v>520</v>
      </c>
      <c r="D342" s="7" t="s">
        <v>850</v>
      </c>
      <c r="E342" s="7" t="s">
        <v>522</v>
      </c>
      <c r="F342" s="12">
        <v>44895</v>
      </c>
      <c r="G342" s="9">
        <v>3501</v>
      </c>
      <c r="H342" s="6">
        <v>1</v>
      </c>
      <c r="I342" s="9">
        <v>3501</v>
      </c>
    </row>
    <row r="343" spans="1:9" ht="14.25">
      <c r="A343" s="6">
        <v>339</v>
      </c>
      <c r="B343" s="7" t="s">
        <v>88</v>
      </c>
      <c r="C343" s="6" t="s">
        <v>520</v>
      </c>
      <c r="D343" s="7" t="s">
        <v>851</v>
      </c>
      <c r="E343" s="7" t="s">
        <v>522</v>
      </c>
      <c r="F343" s="12">
        <v>44924</v>
      </c>
      <c r="G343" s="9">
        <v>3252</v>
      </c>
      <c r="H343" s="6">
        <v>1</v>
      </c>
      <c r="I343" s="9">
        <v>3252</v>
      </c>
    </row>
    <row r="344" spans="1:9" ht="14.25">
      <c r="A344" s="6">
        <v>340</v>
      </c>
      <c r="B344" s="7" t="s">
        <v>88</v>
      </c>
      <c r="C344" s="6" t="s">
        <v>520</v>
      </c>
      <c r="D344" s="7" t="s">
        <v>852</v>
      </c>
      <c r="E344" s="7" t="s">
        <v>522</v>
      </c>
      <c r="F344" s="12">
        <v>44728</v>
      </c>
      <c r="G344" s="9">
        <v>536</v>
      </c>
      <c r="H344" s="6">
        <v>1</v>
      </c>
      <c r="I344" s="9">
        <v>536</v>
      </c>
    </row>
    <row r="345" spans="1:9" ht="14.25">
      <c r="A345" s="6">
        <v>341</v>
      </c>
      <c r="B345" s="7" t="s">
        <v>88</v>
      </c>
      <c r="C345" s="6" t="s">
        <v>520</v>
      </c>
      <c r="D345" s="7" t="s">
        <v>853</v>
      </c>
      <c r="E345" s="7" t="s">
        <v>522</v>
      </c>
      <c r="F345" s="12">
        <v>44728</v>
      </c>
      <c r="G345" s="9">
        <v>334</v>
      </c>
      <c r="H345" s="6">
        <v>1</v>
      </c>
      <c r="I345" s="9">
        <v>334</v>
      </c>
    </row>
    <row r="346" spans="1:9" ht="14.25">
      <c r="A346" s="6">
        <v>342</v>
      </c>
      <c r="B346" s="7" t="s">
        <v>88</v>
      </c>
      <c r="C346" s="6" t="s">
        <v>520</v>
      </c>
      <c r="D346" s="7" t="s">
        <v>854</v>
      </c>
      <c r="E346" s="7" t="s">
        <v>522</v>
      </c>
      <c r="F346" s="12">
        <v>45597</v>
      </c>
      <c r="G346" s="9">
        <v>305</v>
      </c>
      <c r="H346" s="6">
        <v>1</v>
      </c>
      <c r="I346" s="9">
        <v>305</v>
      </c>
    </row>
    <row r="347" spans="1:9" ht="14.25">
      <c r="A347" s="6">
        <v>343</v>
      </c>
      <c r="B347" s="7" t="s">
        <v>498</v>
      </c>
      <c r="C347" s="6" t="s">
        <v>520</v>
      </c>
      <c r="D347" s="7" t="s">
        <v>855</v>
      </c>
      <c r="E347" s="7" t="s">
        <v>522</v>
      </c>
      <c r="F347" s="12">
        <v>44476</v>
      </c>
      <c r="G347" s="9">
        <v>42</v>
      </c>
      <c r="H347" s="6">
        <v>1</v>
      </c>
      <c r="I347" s="9">
        <v>42</v>
      </c>
    </row>
    <row r="348" spans="1:9" ht="14.25">
      <c r="A348" s="6">
        <v>344</v>
      </c>
      <c r="B348" s="7" t="s">
        <v>345</v>
      </c>
      <c r="C348" s="6" t="s">
        <v>520</v>
      </c>
      <c r="D348" s="7" t="s">
        <v>856</v>
      </c>
      <c r="E348" s="7" t="s">
        <v>522</v>
      </c>
      <c r="F348" s="12">
        <v>44607</v>
      </c>
      <c r="G348" s="9">
        <v>460</v>
      </c>
      <c r="H348" s="6">
        <v>1</v>
      </c>
      <c r="I348" s="9">
        <v>460</v>
      </c>
    </row>
    <row r="349" spans="1:9" ht="14.25">
      <c r="A349" s="6">
        <v>345</v>
      </c>
      <c r="B349" s="7" t="s">
        <v>22</v>
      </c>
      <c r="C349" s="6" t="s">
        <v>520</v>
      </c>
      <c r="D349" s="7" t="s">
        <v>857</v>
      </c>
      <c r="E349" s="7" t="s">
        <v>522</v>
      </c>
      <c r="F349" s="12">
        <v>43229</v>
      </c>
      <c r="G349" s="9">
        <v>3170.2</v>
      </c>
      <c r="H349" s="6">
        <v>1</v>
      </c>
      <c r="I349" s="9">
        <v>3170.2</v>
      </c>
    </row>
    <row r="350" spans="1:9" ht="14.25">
      <c r="A350" s="6">
        <v>346</v>
      </c>
      <c r="B350" s="7" t="s">
        <v>22</v>
      </c>
      <c r="C350" s="6" t="s">
        <v>520</v>
      </c>
      <c r="D350" s="7" t="s">
        <v>858</v>
      </c>
      <c r="E350" s="7" t="s">
        <v>522</v>
      </c>
      <c r="F350" s="12">
        <v>43700</v>
      </c>
      <c r="G350" s="9">
        <v>12200</v>
      </c>
      <c r="H350" s="6">
        <v>1</v>
      </c>
      <c r="I350" s="9">
        <v>12200</v>
      </c>
    </row>
    <row r="351" spans="1:9" ht="14.25">
      <c r="A351" s="6">
        <v>347</v>
      </c>
      <c r="B351" s="7" t="s">
        <v>22</v>
      </c>
      <c r="C351" s="6" t="s">
        <v>520</v>
      </c>
      <c r="D351" s="7" t="s">
        <v>859</v>
      </c>
      <c r="E351" s="7" t="s">
        <v>522</v>
      </c>
      <c r="F351" s="12">
        <v>44337</v>
      </c>
      <c r="G351" s="9">
        <v>4815</v>
      </c>
      <c r="H351" s="6">
        <v>1</v>
      </c>
      <c r="I351" s="9">
        <v>4815</v>
      </c>
    </row>
    <row r="352" spans="1:9" ht="14.25">
      <c r="A352" s="6">
        <v>348</v>
      </c>
      <c r="B352" s="7" t="s">
        <v>22</v>
      </c>
      <c r="C352" s="6" t="s">
        <v>520</v>
      </c>
      <c r="D352" s="7" t="s">
        <v>860</v>
      </c>
      <c r="E352" s="7" t="s">
        <v>522</v>
      </c>
      <c r="F352" s="12">
        <v>44302</v>
      </c>
      <c r="G352" s="9">
        <v>501.1</v>
      </c>
      <c r="H352" s="6">
        <v>1</v>
      </c>
      <c r="I352" s="9">
        <v>501.1</v>
      </c>
    </row>
    <row r="353" spans="1:9" ht="14.25">
      <c r="A353" s="6">
        <v>349</v>
      </c>
      <c r="B353" s="7" t="s">
        <v>22</v>
      </c>
      <c r="C353" s="6" t="s">
        <v>520</v>
      </c>
      <c r="D353" s="7" t="s">
        <v>861</v>
      </c>
      <c r="E353" s="7" t="s">
        <v>522</v>
      </c>
      <c r="F353" s="12">
        <v>44300</v>
      </c>
      <c r="G353" s="9">
        <v>1083.5</v>
      </c>
      <c r="H353" s="6">
        <v>1</v>
      </c>
      <c r="I353" s="9">
        <v>1083.5</v>
      </c>
    </row>
    <row r="354" spans="1:9" ht="14.25">
      <c r="A354" s="6">
        <v>350</v>
      </c>
      <c r="B354" s="7" t="s">
        <v>22</v>
      </c>
      <c r="C354" s="6" t="s">
        <v>520</v>
      </c>
      <c r="D354" s="7" t="s">
        <v>862</v>
      </c>
      <c r="E354" s="7" t="s">
        <v>522</v>
      </c>
      <c r="F354" s="12">
        <v>44494</v>
      </c>
      <c r="G354" s="9">
        <v>5596</v>
      </c>
      <c r="H354" s="6">
        <v>1</v>
      </c>
      <c r="I354" s="9">
        <v>5596</v>
      </c>
    </row>
    <row r="355" spans="1:9" ht="14.25">
      <c r="A355" s="6">
        <v>351</v>
      </c>
      <c r="B355" s="7" t="s">
        <v>22</v>
      </c>
      <c r="C355" s="6" t="s">
        <v>520</v>
      </c>
      <c r="D355" s="7" t="s">
        <v>863</v>
      </c>
      <c r="E355" s="7" t="s">
        <v>522</v>
      </c>
      <c r="F355" s="12">
        <v>44564</v>
      </c>
      <c r="G355" s="9">
        <v>911</v>
      </c>
      <c r="H355" s="6">
        <v>1</v>
      </c>
      <c r="I355" s="9">
        <v>911</v>
      </c>
    </row>
    <row r="356" spans="1:9" ht="14.25">
      <c r="A356" s="6">
        <v>352</v>
      </c>
      <c r="B356" s="7" t="s">
        <v>22</v>
      </c>
      <c r="C356" s="6" t="s">
        <v>520</v>
      </c>
      <c r="D356" s="7" t="s">
        <v>864</v>
      </c>
      <c r="E356" s="7" t="s">
        <v>522</v>
      </c>
      <c r="F356" s="12">
        <v>44973</v>
      </c>
      <c r="G356" s="9">
        <v>17200</v>
      </c>
      <c r="H356" s="6">
        <v>1</v>
      </c>
      <c r="I356" s="9">
        <v>17200</v>
      </c>
    </row>
    <row r="357" spans="1:9" ht="14.25">
      <c r="A357" s="6">
        <v>353</v>
      </c>
      <c r="B357" s="7" t="s">
        <v>22</v>
      </c>
      <c r="C357" s="6" t="s">
        <v>520</v>
      </c>
      <c r="D357" s="7" t="s">
        <v>865</v>
      </c>
      <c r="E357" s="7" t="s">
        <v>522</v>
      </c>
      <c r="F357" s="12">
        <v>44973</v>
      </c>
      <c r="G357" s="9">
        <v>1001</v>
      </c>
      <c r="H357" s="6">
        <v>1</v>
      </c>
      <c r="I357" s="9">
        <v>1001</v>
      </c>
    </row>
    <row r="358" spans="1:9" ht="14.25">
      <c r="A358" s="6">
        <v>354</v>
      </c>
      <c r="B358" s="7" t="s">
        <v>22</v>
      </c>
      <c r="C358" s="6" t="s">
        <v>520</v>
      </c>
      <c r="D358" s="7" t="s">
        <v>866</v>
      </c>
      <c r="E358" s="7" t="s">
        <v>522</v>
      </c>
      <c r="F358" s="12">
        <v>44973</v>
      </c>
      <c r="G358" s="9">
        <v>2001</v>
      </c>
      <c r="H358" s="6">
        <v>1</v>
      </c>
      <c r="I358" s="9">
        <v>2001</v>
      </c>
    </row>
    <row r="359" spans="1:9" ht="14.25">
      <c r="A359" s="6">
        <v>355</v>
      </c>
      <c r="B359" s="7" t="s">
        <v>22</v>
      </c>
      <c r="C359" s="6" t="s">
        <v>520</v>
      </c>
      <c r="D359" s="7" t="s">
        <v>867</v>
      </c>
      <c r="E359" s="7" t="s">
        <v>522</v>
      </c>
      <c r="F359" s="12">
        <v>45012</v>
      </c>
      <c r="G359" s="9">
        <v>3005</v>
      </c>
      <c r="H359" s="6">
        <v>2</v>
      </c>
      <c r="I359" s="9">
        <v>1502.5</v>
      </c>
    </row>
    <row r="360" spans="1:9" ht="14.25">
      <c r="A360" s="6">
        <v>356</v>
      </c>
      <c r="B360" s="7" t="s">
        <v>22</v>
      </c>
      <c r="C360" s="6" t="s">
        <v>520</v>
      </c>
      <c r="D360" s="7" t="s">
        <v>868</v>
      </c>
      <c r="E360" s="7" t="s">
        <v>522</v>
      </c>
      <c r="F360" s="12">
        <v>45288</v>
      </c>
      <c r="G360" s="9">
        <v>2318</v>
      </c>
      <c r="H360" s="6">
        <v>1</v>
      </c>
      <c r="I360" s="9">
        <v>2318</v>
      </c>
    </row>
    <row r="361" spans="1:9" ht="14.25">
      <c r="A361" s="6">
        <v>357</v>
      </c>
      <c r="B361" s="7" t="s">
        <v>22</v>
      </c>
      <c r="C361" s="6" t="s">
        <v>520</v>
      </c>
      <c r="D361" s="7" t="s">
        <v>869</v>
      </c>
      <c r="E361" s="7" t="s">
        <v>522</v>
      </c>
      <c r="F361" s="12">
        <v>45636</v>
      </c>
      <c r="G361" s="9">
        <v>1210</v>
      </c>
      <c r="H361" s="6">
        <v>1</v>
      </c>
      <c r="I361" s="9">
        <v>1210</v>
      </c>
    </row>
    <row r="362" spans="1:9" ht="14.25">
      <c r="A362" s="6">
        <v>358</v>
      </c>
      <c r="B362" s="7" t="s">
        <v>22</v>
      </c>
      <c r="C362" s="6" t="s">
        <v>536</v>
      </c>
      <c r="D362" s="7" t="s">
        <v>870</v>
      </c>
      <c r="E362" s="7" t="s">
        <v>522</v>
      </c>
      <c r="F362" s="12">
        <v>45364</v>
      </c>
      <c r="G362" s="9">
        <v>2150</v>
      </c>
      <c r="H362" s="6">
        <v>2</v>
      </c>
      <c r="I362" s="9">
        <v>1075</v>
      </c>
    </row>
    <row r="363" spans="1:9" ht="14.25">
      <c r="A363" s="6">
        <v>359</v>
      </c>
      <c r="B363" s="7" t="s">
        <v>229</v>
      </c>
      <c r="C363" s="6" t="s">
        <v>520</v>
      </c>
      <c r="D363" s="7" t="s">
        <v>871</v>
      </c>
      <c r="E363" s="7" t="s">
        <v>522</v>
      </c>
      <c r="F363" s="12">
        <v>43991</v>
      </c>
      <c r="G363" s="9">
        <v>1001.5</v>
      </c>
      <c r="H363" s="6">
        <v>1</v>
      </c>
      <c r="I363" s="9">
        <v>1001.5</v>
      </c>
    </row>
    <row r="364" spans="1:9" ht="14.25">
      <c r="A364" s="6">
        <v>360</v>
      </c>
      <c r="B364" s="7" t="s">
        <v>229</v>
      </c>
      <c r="C364" s="6" t="s">
        <v>536</v>
      </c>
      <c r="D364" s="7" t="s">
        <v>721</v>
      </c>
      <c r="E364" s="7" t="s">
        <v>528</v>
      </c>
      <c r="F364" s="12">
        <v>44167</v>
      </c>
      <c r="G364" s="9">
        <v>89.1</v>
      </c>
      <c r="H364" s="6">
        <v>2</v>
      </c>
      <c r="I364" s="9">
        <v>44.5</v>
      </c>
    </row>
    <row r="365" spans="1:9" ht="14.25">
      <c r="A365" s="6">
        <v>361</v>
      </c>
      <c r="B365" s="7" t="s">
        <v>229</v>
      </c>
      <c r="C365" s="6" t="s">
        <v>520</v>
      </c>
      <c r="D365" s="7" t="s">
        <v>872</v>
      </c>
      <c r="E365" s="7" t="s">
        <v>522</v>
      </c>
      <c r="F365" s="12">
        <v>44636</v>
      </c>
      <c r="G365" s="9">
        <v>380</v>
      </c>
      <c r="H365" s="6">
        <v>1</v>
      </c>
      <c r="I365" s="9">
        <v>380</v>
      </c>
    </row>
    <row r="366" spans="1:9" ht="14.25">
      <c r="A366" s="6">
        <v>362</v>
      </c>
      <c r="B366" s="7" t="s">
        <v>229</v>
      </c>
      <c r="C366" s="6" t="s">
        <v>520</v>
      </c>
      <c r="D366" s="7" t="s">
        <v>873</v>
      </c>
      <c r="E366" s="7" t="s">
        <v>522</v>
      </c>
      <c r="F366" s="12">
        <v>45007</v>
      </c>
      <c r="G366" s="9">
        <v>547.1</v>
      </c>
      <c r="H366" s="6">
        <v>1</v>
      </c>
      <c r="I366" s="9">
        <v>547.1</v>
      </c>
    </row>
    <row r="367" spans="1:9" ht="14.25">
      <c r="A367" s="6">
        <v>363</v>
      </c>
      <c r="B367" s="7" t="s">
        <v>229</v>
      </c>
      <c r="C367" s="6" t="s">
        <v>520</v>
      </c>
      <c r="D367" s="7" t="s">
        <v>874</v>
      </c>
      <c r="E367" s="7" t="s">
        <v>522</v>
      </c>
      <c r="F367" s="12">
        <v>45657</v>
      </c>
      <c r="G367" s="9">
        <v>720</v>
      </c>
      <c r="H367" s="6">
        <v>1</v>
      </c>
      <c r="I367" s="9">
        <v>720</v>
      </c>
    </row>
    <row r="368" spans="1:9" ht="14.25">
      <c r="A368" s="6">
        <v>364</v>
      </c>
      <c r="B368" s="7" t="s">
        <v>394</v>
      </c>
      <c r="C368" s="6" t="s">
        <v>520</v>
      </c>
      <c r="D368" s="7" t="s">
        <v>875</v>
      </c>
      <c r="E368" s="7" t="s">
        <v>522</v>
      </c>
      <c r="F368" s="12">
        <v>44147</v>
      </c>
      <c r="G368" s="9">
        <v>210</v>
      </c>
      <c r="H368" s="6">
        <v>1</v>
      </c>
      <c r="I368" s="9">
        <v>210</v>
      </c>
    </row>
    <row r="369" spans="1:9" ht="14.25">
      <c r="A369" s="6">
        <v>365</v>
      </c>
      <c r="B369" s="7" t="s">
        <v>394</v>
      </c>
      <c r="C369" s="6" t="s">
        <v>520</v>
      </c>
      <c r="D369" s="7" t="s">
        <v>876</v>
      </c>
      <c r="E369" s="7" t="s">
        <v>522</v>
      </c>
      <c r="F369" s="12">
        <v>44607</v>
      </c>
      <c r="G369" s="9">
        <v>230</v>
      </c>
      <c r="H369" s="6">
        <v>1</v>
      </c>
      <c r="I369" s="9">
        <v>230</v>
      </c>
    </row>
    <row r="370" spans="1:9" ht="14.25">
      <c r="A370" s="6">
        <v>366</v>
      </c>
      <c r="B370" s="7" t="s">
        <v>177</v>
      </c>
      <c r="C370" s="6" t="s">
        <v>520</v>
      </c>
      <c r="D370" s="7" t="s">
        <v>877</v>
      </c>
      <c r="E370" s="7" t="s">
        <v>522</v>
      </c>
      <c r="F370" s="12">
        <v>44945</v>
      </c>
      <c r="G370" s="9">
        <v>1500</v>
      </c>
      <c r="H370" s="6">
        <v>1</v>
      </c>
      <c r="I370" s="9">
        <v>1500</v>
      </c>
    </row>
    <row r="371" spans="1:9" ht="14.25">
      <c r="A371" s="6">
        <v>367</v>
      </c>
      <c r="B371" s="7" t="s">
        <v>124</v>
      </c>
      <c r="C371" s="6" t="s">
        <v>520</v>
      </c>
      <c r="D371" s="7" t="s">
        <v>878</v>
      </c>
      <c r="E371" s="7" t="s">
        <v>522</v>
      </c>
      <c r="F371" s="12">
        <v>43231</v>
      </c>
      <c r="G371" s="9">
        <v>2500</v>
      </c>
      <c r="H371" s="6">
        <v>1</v>
      </c>
      <c r="I371" s="9">
        <v>2500</v>
      </c>
    </row>
    <row r="372" spans="1:9" ht="14.25">
      <c r="A372" s="6">
        <v>368</v>
      </c>
      <c r="B372" s="7" t="s">
        <v>124</v>
      </c>
      <c r="C372" s="6" t="s">
        <v>536</v>
      </c>
      <c r="D372" s="7" t="s">
        <v>679</v>
      </c>
      <c r="E372" s="7" t="s">
        <v>522</v>
      </c>
      <c r="F372" s="12">
        <v>45581</v>
      </c>
      <c r="G372" s="9">
        <v>368</v>
      </c>
      <c r="H372" s="6">
        <v>2</v>
      </c>
      <c r="I372" s="9">
        <v>184</v>
      </c>
    </row>
    <row r="373" spans="1:9" ht="14.25">
      <c r="A373" s="6">
        <v>369</v>
      </c>
      <c r="B373" s="7" t="s">
        <v>294</v>
      </c>
      <c r="C373" s="6" t="s">
        <v>520</v>
      </c>
      <c r="D373" s="7" t="s">
        <v>575</v>
      </c>
      <c r="E373" s="7" t="s">
        <v>522</v>
      </c>
      <c r="F373" s="12">
        <v>44343</v>
      </c>
      <c r="G373" s="9">
        <v>260</v>
      </c>
      <c r="H373" s="6">
        <v>2</v>
      </c>
      <c r="I373" s="9">
        <v>130</v>
      </c>
    </row>
    <row r="374" spans="1:9" ht="14.25">
      <c r="A374" s="6">
        <v>370</v>
      </c>
      <c r="B374" s="7" t="s">
        <v>294</v>
      </c>
      <c r="C374" s="6" t="s">
        <v>536</v>
      </c>
      <c r="D374" s="7" t="s">
        <v>879</v>
      </c>
      <c r="E374" s="7" t="s">
        <v>522</v>
      </c>
      <c r="F374" s="12">
        <v>44344</v>
      </c>
      <c r="G374" s="9">
        <v>1320</v>
      </c>
      <c r="H374" s="6">
        <v>2</v>
      </c>
      <c r="I374" s="9">
        <v>660</v>
      </c>
    </row>
    <row r="375" spans="1:9" ht="14.25">
      <c r="A375" s="6">
        <v>371</v>
      </c>
      <c r="B375" s="7" t="s">
        <v>460</v>
      </c>
      <c r="C375" s="6" t="s">
        <v>520</v>
      </c>
      <c r="D375" s="7" t="s">
        <v>880</v>
      </c>
      <c r="E375" s="7" t="s">
        <v>522</v>
      </c>
      <c r="F375" s="12">
        <v>45135</v>
      </c>
      <c r="G375" s="9">
        <v>203</v>
      </c>
      <c r="H375" s="6">
        <v>2</v>
      </c>
      <c r="I375" s="9">
        <v>101.5</v>
      </c>
    </row>
    <row r="376" spans="1:9" ht="14.25">
      <c r="A376" s="6">
        <v>372</v>
      </c>
      <c r="B376" s="7" t="s">
        <v>325</v>
      </c>
      <c r="C376" s="6" t="s">
        <v>520</v>
      </c>
      <c r="D376" s="7" t="s">
        <v>881</v>
      </c>
      <c r="E376" s="7" t="s">
        <v>544</v>
      </c>
      <c r="F376" s="12">
        <v>44193</v>
      </c>
      <c r="G376" s="9">
        <v>1042.2</v>
      </c>
      <c r="H376" s="6">
        <v>2</v>
      </c>
      <c r="I376" s="9">
        <v>521.1</v>
      </c>
    </row>
    <row r="377" spans="1:9" ht="14.25">
      <c r="A377" s="6">
        <v>373</v>
      </c>
      <c r="B377" s="7" t="s">
        <v>325</v>
      </c>
      <c r="C377" s="6" t="s">
        <v>520</v>
      </c>
      <c r="D377" s="7" t="s">
        <v>825</v>
      </c>
      <c r="E377" s="7" t="s">
        <v>522</v>
      </c>
      <c r="F377" s="12">
        <v>44270</v>
      </c>
      <c r="G377" s="9">
        <v>237.5</v>
      </c>
      <c r="H377" s="6">
        <v>2</v>
      </c>
      <c r="I377" s="9">
        <v>118.8</v>
      </c>
    </row>
    <row r="378" spans="1:9" ht="14.25">
      <c r="A378" s="6">
        <v>374</v>
      </c>
      <c r="B378" s="7" t="s">
        <v>371</v>
      </c>
      <c r="C378" s="6" t="s">
        <v>520</v>
      </c>
      <c r="D378" s="7" t="s">
        <v>882</v>
      </c>
      <c r="E378" s="7" t="s">
        <v>544</v>
      </c>
      <c r="F378" s="12">
        <v>44483</v>
      </c>
      <c r="G378" s="9">
        <v>301.5</v>
      </c>
      <c r="H378" s="6">
        <v>1</v>
      </c>
      <c r="I378" s="9">
        <v>301.5</v>
      </c>
    </row>
    <row r="379" spans="1:9" ht="14.25">
      <c r="A379" s="6">
        <v>375</v>
      </c>
      <c r="B379" s="7" t="s">
        <v>371</v>
      </c>
      <c r="C379" s="6" t="s">
        <v>520</v>
      </c>
      <c r="D379" s="7" t="s">
        <v>883</v>
      </c>
      <c r="E379" s="7" t="s">
        <v>522</v>
      </c>
      <c r="F379" s="12">
        <v>44483</v>
      </c>
      <c r="G379" s="9">
        <v>45</v>
      </c>
      <c r="H379" s="6">
        <v>1</v>
      </c>
      <c r="I379" s="9">
        <v>45</v>
      </c>
    </row>
    <row r="380" spans="1:9" ht="14.25">
      <c r="A380" s="6">
        <v>376</v>
      </c>
      <c r="B380" s="7" t="s">
        <v>425</v>
      </c>
      <c r="C380" s="6" t="s">
        <v>520</v>
      </c>
      <c r="D380" s="7" t="s">
        <v>884</v>
      </c>
      <c r="E380" s="7" t="s">
        <v>522</v>
      </c>
      <c r="F380" s="12">
        <v>44487</v>
      </c>
      <c r="G380" s="9">
        <v>151</v>
      </c>
      <c r="H380" s="6">
        <v>1</v>
      </c>
      <c r="I380" s="9">
        <v>151</v>
      </c>
    </row>
    <row r="381" spans="1:9" ht="14.25">
      <c r="A381" s="6">
        <v>377</v>
      </c>
      <c r="B381" s="7" t="s">
        <v>425</v>
      </c>
      <c r="C381" s="6" t="s">
        <v>520</v>
      </c>
      <c r="D381" s="7" t="s">
        <v>885</v>
      </c>
      <c r="E381" s="7" t="s">
        <v>522</v>
      </c>
      <c r="F381" s="12">
        <v>44518</v>
      </c>
      <c r="G381" s="9">
        <v>62</v>
      </c>
      <c r="H381" s="6">
        <v>2</v>
      </c>
      <c r="I381" s="9">
        <v>31</v>
      </c>
    </row>
    <row r="382" spans="1:9" ht="14.25">
      <c r="A382" s="6">
        <v>378</v>
      </c>
      <c r="B382" s="7" t="s">
        <v>496</v>
      </c>
      <c r="C382" s="6" t="s">
        <v>536</v>
      </c>
      <c r="D382" s="7" t="s">
        <v>886</v>
      </c>
      <c r="E382" s="7" t="s">
        <v>522</v>
      </c>
      <c r="F382" s="12">
        <v>45400</v>
      </c>
      <c r="G382" s="9">
        <v>89</v>
      </c>
      <c r="H382" s="6">
        <v>2</v>
      </c>
      <c r="I382" s="9">
        <v>44.5</v>
      </c>
    </row>
    <row r="383" spans="1:9" ht="14.25">
      <c r="A383" s="6">
        <v>379</v>
      </c>
      <c r="B383" s="7" t="s">
        <v>473</v>
      </c>
      <c r="C383" s="6" t="s">
        <v>536</v>
      </c>
      <c r="D383" s="7" t="s">
        <v>564</v>
      </c>
      <c r="E383" s="7" t="s">
        <v>522</v>
      </c>
      <c r="F383" s="12">
        <v>44442</v>
      </c>
      <c r="G383" s="9">
        <v>160.5</v>
      </c>
      <c r="H383" s="6">
        <v>2</v>
      </c>
      <c r="I383" s="9">
        <v>80.2</v>
      </c>
    </row>
    <row r="384" spans="1:9" ht="14.25">
      <c r="A384" s="6">
        <v>380</v>
      </c>
      <c r="B384" s="7" t="s">
        <v>405</v>
      </c>
      <c r="C384" s="6" t="s">
        <v>536</v>
      </c>
      <c r="D384" s="7" t="s">
        <v>887</v>
      </c>
      <c r="E384" s="7" t="s">
        <v>522</v>
      </c>
      <c r="F384" s="12">
        <v>45428</v>
      </c>
      <c r="G384" s="9">
        <v>418.1</v>
      </c>
      <c r="H384" s="6">
        <v>2</v>
      </c>
      <c r="I384" s="9">
        <v>209.1</v>
      </c>
    </row>
    <row r="385" spans="1:9" ht="14.25">
      <c r="A385" s="6">
        <v>381</v>
      </c>
      <c r="B385" s="7" t="s">
        <v>405</v>
      </c>
      <c r="C385" s="6" t="s">
        <v>536</v>
      </c>
      <c r="D385" s="7" t="s">
        <v>888</v>
      </c>
      <c r="E385" s="7" t="s">
        <v>522</v>
      </c>
      <c r="F385" s="12">
        <v>45309</v>
      </c>
      <c r="G385" s="9">
        <v>184</v>
      </c>
      <c r="H385" s="6">
        <v>2</v>
      </c>
      <c r="I385" s="9">
        <v>92</v>
      </c>
    </row>
    <row r="386" spans="1:9" ht="14.25">
      <c r="A386" s="6">
        <v>382</v>
      </c>
      <c r="B386" s="7" t="s">
        <v>442</v>
      </c>
      <c r="C386" s="6" t="s">
        <v>520</v>
      </c>
      <c r="D386" s="7" t="s">
        <v>889</v>
      </c>
      <c r="E386" s="7" t="s">
        <v>522</v>
      </c>
      <c r="F386" s="12">
        <v>44328</v>
      </c>
      <c r="G386" s="9">
        <v>120</v>
      </c>
      <c r="H386" s="6">
        <v>1</v>
      </c>
      <c r="I386" s="9">
        <v>120</v>
      </c>
    </row>
    <row r="387" spans="1:9" ht="14.25">
      <c r="A387" s="6">
        <v>383</v>
      </c>
      <c r="B387" s="7" t="s">
        <v>358</v>
      </c>
      <c r="C387" s="6" t="s">
        <v>520</v>
      </c>
      <c r="D387" s="7" t="s">
        <v>890</v>
      </c>
      <c r="E387" s="7" t="s">
        <v>522</v>
      </c>
      <c r="F387" s="12">
        <v>44272</v>
      </c>
      <c r="G387" s="9">
        <v>350</v>
      </c>
      <c r="H387" s="6">
        <v>1</v>
      </c>
      <c r="I387" s="9">
        <v>350</v>
      </c>
    </row>
    <row r="388" spans="1:9" ht="14.25">
      <c r="A388" s="6">
        <v>384</v>
      </c>
      <c r="B388" s="7" t="s">
        <v>263</v>
      </c>
      <c r="C388" s="6" t="s">
        <v>520</v>
      </c>
      <c r="D388" s="7" t="s">
        <v>891</v>
      </c>
      <c r="E388" s="7" t="s">
        <v>522</v>
      </c>
      <c r="F388" s="12">
        <v>43357</v>
      </c>
      <c r="G388" s="9">
        <v>793</v>
      </c>
      <c r="H388" s="6">
        <v>1</v>
      </c>
      <c r="I388" s="9">
        <v>793</v>
      </c>
    </row>
    <row r="389" spans="1:9" ht="14.25">
      <c r="A389" s="6">
        <v>385</v>
      </c>
      <c r="B389" s="7" t="s">
        <v>263</v>
      </c>
      <c r="C389" s="6" t="s">
        <v>520</v>
      </c>
      <c r="D389" s="7" t="s">
        <v>892</v>
      </c>
      <c r="E389" s="7" t="s">
        <v>522</v>
      </c>
      <c r="F389" s="12">
        <v>44334</v>
      </c>
      <c r="G389" s="9">
        <v>212</v>
      </c>
      <c r="H389" s="6">
        <v>2</v>
      </c>
      <c r="I389" s="9">
        <v>106</v>
      </c>
    </row>
    <row r="390" spans="1:9" ht="14.25">
      <c r="A390" s="6">
        <v>386</v>
      </c>
      <c r="B390" s="7" t="s">
        <v>263</v>
      </c>
      <c r="C390" s="6" t="s">
        <v>520</v>
      </c>
      <c r="D390" s="7" t="s">
        <v>893</v>
      </c>
      <c r="E390" s="7" t="s">
        <v>528</v>
      </c>
      <c r="F390" s="12">
        <v>44327</v>
      </c>
      <c r="G390" s="9">
        <v>108</v>
      </c>
      <c r="H390" s="6">
        <v>1</v>
      </c>
      <c r="I390" s="9">
        <v>108</v>
      </c>
    </row>
    <row r="391" spans="1:9" ht="14.25">
      <c r="A391" s="6">
        <v>387</v>
      </c>
      <c r="B391" s="7" t="s">
        <v>263</v>
      </c>
      <c r="C391" s="6" t="s">
        <v>520</v>
      </c>
      <c r="D391" s="7" t="s">
        <v>894</v>
      </c>
      <c r="E391" s="7" t="s">
        <v>528</v>
      </c>
      <c r="F391" s="12">
        <v>44301</v>
      </c>
      <c r="G391" s="9">
        <v>200.1</v>
      </c>
      <c r="H391" s="6">
        <v>1</v>
      </c>
      <c r="I391" s="9">
        <v>200.1</v>
      </c>
    </row>
    <row r="392" spans="1:9" ht="14.25">
      <c r="A392" s="6">
        <v>388</v>
      </c>
      <c r="B392" s="7" t="s">
        <v>263</v>
      </c>
      <c r="C392" s="6" t="s">
        <v>520</v>
      </c>
      <c r="D392" s="7" t="s">
        <v>895</v>
      </c>
      <c r="E392" s="7" t="s">
        <v>522</v>
      </c>
      <c r="F392" s="12">
        <v>45134</v>
      </c>
      <c r="G392" s="9">
        <v>252</v>
      </c>
      <c r="H392" s="6">
        <v>2</v>
      </c>
      <c r="I392" s="9">
        <v>126</v>
      </c>
    </row>
    <row r="393" spans="1:9" ht="14.25">
      <c r="A393" s="6">
        <v>389</v>
      </c>
      <c r="B393" s="7" t="s">
        <v>284</v>
      </c>
      <c r="C393" s="6" t="s">
        <v>520</v>
      </c>
      <c r="D393" s="7" t="s">
        <v>896</v>
      </c>
      <c r="E393" s="7" t="s">
        <v>528</v>
      </c>
      <c r="F393" s="12">
        <v>44154</v>
      </c>
      <c r="G393" s="9">
        <v>116</v>
      </c>
      <c r="H393" s="6">
        <v>2</v>
      </c>
      <c r="I393" s="9">
        <v>58</v>
      </c>
    </row>
    <row r="394" spans="1:9" ht="14.25">
      <c r="A394" s="6">
        <v>390</v>
      </c>
      <c r="B394" s="7" t="s">
        <v>284</v>
      </c>
      <c r="C394" s="6" t="s">
        <v>520</v>
      </c>
      <c r="D394" s="7" t="s">
        <v>897</v>
      </c>
      <c r="E394" s="7" t="s">
        <v>522</v>
      </c>
      <c r="F394" s="12">
        <v>44351</v>
      </c>
      <c r="G394" s="9">
        <v>300</v>
      </c>
      <c r="H394" s="6">
        <v>1</v>
      </c>
      <c r="I394" s="9">
        <v>300</v>
      </c>
    </row>
    <row r="395" spans="1:9" ht="14.25">
      <c r="A395" s="6">
        <v>391</v>
      </c>
      <c r="B395" s="7" t="s">
        <v>284</v>
      </c>
      <c r="C395" s="6" t="s">
        <v>520</v>
      </c>
      <c r="D395" s="7" t="s">
        <v>898</v>
      </c>
      <c r="E395" s="7" t="s">
        <v>522</v>
      </c>
      <c r="F395" s="12">
        <v>45216</v>
      </c>
      <c r="G395" s="9">
        <v>720</v>
      </c>
      <c r="H395" s="6">
        <v>1</v>
      </c>
      <c r="I395" s="9">
        <v>720</v>
      </c>
    </row>
    <row r="396" spans="1:9" ht="14.25">
      <c r="A396" s="6">
        <v>392</v>
      </c>
      <c r="B396" s="7" t="s">
        <v>437</v>
      </c>
      <c r="C396" s="6" t="s">
        <v>520</v>
      </c>
      <c r="D396" s="7" t="s">
        <v>899</v>
      </c>
      <c r="E396" s="7" t="s">
        <v>522</v>
      </c>
      <c r="F396" s="12">
        <v>44630</v>
      </c>
      <c r="G396" s="9">
        <v>130</v>
      </c>
      <c r="H396" s="6">
        <v>1</v>
      </c>
      <c r="I396" s="9">
        <v>130</v>
      </c>
    </row>
    <row r="397" spans="1:9" ht="14.25">
      <c r="A397" s="6">
        <v>393</v>
      </c>
      <c r="B397" s="7" t="s">
        <v>298</v>
      </c>
      <c r="C397" s="6" t="s">
        <v>520</v>
      </c>
      <c r="D397" s="7" t="s">
        <v>900</v>
      </c>
      <c r="E397" s="7" t="s">
        <v>522</v>
      </c>
      <c r="F397" s="12">
        <v>44483</v>
      </c>
      <c r="G397" s="9">
        <v>1250</v>
      </c>
      <c r="H397" s="6">
        <v>2</v>
      </c>
      <c r="I397" s="9">
        <v>625</v>
      </c>
    </row>
    <row r="398" spans="1:9" ht="14.25">
      <c r="A398" s="6">
        <v>394</v>
      </c>
      <c r="B398" s="7" t="s">
        <v>298</v>
      </c>
      <c r="C398" s="6" t="s">
        <v>536</v>
      </c>
      <c r="D398" s="7" t="s">
        <v>901</v>
      </c>
      <c r="E398" s="7" t="s">
        <v>522</v>
      </c>
      <c r="F398" s="12">
        <v>45454</v>
      </c>
      <c r="G398" s="9">
        <v>1200</v>
      </c>
      <c r="H398" s="6">
        <v>2</v>
      </c>
      <c r="I398" s="9">
        <v>600</v>
      </c>
    </row>
    <row r="399" spans="1:9" ht="14.25">
      <c r="A399" s="6">
        <v>395</v>
      </c>
      <c r="B399" s="7" t="s">
        <v>234</v>
      </c>
      <c r="C399" s="6" t="s">
        <v>520</v>
      </c>
      <c r="D399" s="7" t="s">
        <v>902</v>
      </c>
      <c r="E399" s="7" t="s">
        <v>522</v>
      </c>
      <c r="F399" s="12">
        <v>43108</v>
      </c>
      <c r="G399" s="9">
        <v>215</v>
      </c>
      <c r="H399" s="6">
        <v>1</v>
      </c>
      <c r="I399" s="9">
        <v>215</v>
      </c>
    </row>
    <row r="400" spans="1:9" ht="14.25">
      <c r="A400" s="6">
        <v>396</v>
      </c>
      <c r="B400" s="7" t="s">
        <v>234</v>
      </c>
      <c r="C400" s="6" t="s">
        <v>536</v>
      </c>
      <c r="D400" s="7" t="s">
        <v>903</v>
      </c>
      <c r="E400" s="7" t="s">
        <v>544</v>
      </c>
      <c r="F400" s="12">
        <v>44249</v>
      </c>
      <c r="G400" s="9">
        <v>2000</v>
      </c>
      <c r="H400" s="6">
        <v>2</v>
      </c>
      <c r="I400" s="9">
        <v>1000</v>
      </c>
    </row>
    <row r="401" spans="1:9" ht="14.25">
      <c r="A401" s="6">
        <v>397</v>
      </c>
      <c r="B401" s="7" t="s">
        <v>478</v>
      </c>
      <c r="C401" s="6" t="s">
        <v>520</v>
      </c>
      <c r="D401" s="7" t="s">
        <v>904</v>
      </c>
      <c r="E401" s="7" t="s">
        <v>528</v>
      </c>
      <c r="F401" s="12">
        <v>44475</v>
      </c>
      <c r="G401" s="9">
        <v>67.2</v>
      </c>
      <c r="H401" s="6">
        <v>1</v>
      </c>
      <c r="I401" s="9">
        <v>67.2</v>
      </c>
    </row>
    <row r="402" spans="1:9" ht="14.25">
      <c r="A402" s="6">
        <v>398</v>
      </c>
      <c r="B402" s="7" t="s">
        <v>478</v>
      </c>
      <c r="C402" s="6" t="s">
        <v>520</v>
      </c>
      <c r="D402" s="7" t="s">
        <v>905</v>
      </c>
      <c r="E402" s="7" t="s">
        <v>522</v>
      </c>
      <c r="F402" s="12">
        <v>44858</v>
      </c>
      <c r="G402" s="9">
        <v>52.5</v>
      </c>
      <c r="H402" s="6">
        <v>1</v>
      </c>
      <c r="I402" s="9">
        <v>52.5</v>
      </c>
    </row>
    <row r="403" spans="1:9" ht="14.25">
      <c r="A403" s="6">
        <v>399</v>
      </c>
      <c r="B403" s="7" t="s">
        <v>30</v>
      </c>
      <c r="C403" s="6" t="s">
        <v>520</v>
      </c>
      <c r="D403" s="7" t="s">
        <v>906</v>
      </c>
      <c r="E403" s="7" t="s">
        <v>522</v>
      </c>
      <c r="F403" s="12">
        <v>41793</v>
      </c>
      <c r="G403" s="9">
        <v>1251</v>
      </c>
      <c r="H403" s="6">
        <v>1</v>
      </c>
      <c r="I403" s="9">
        <v>1251</v>
      </c>
    </row>
    <row r="404" spans="1:9" ht="14.25">
      <c r="A404" s="6">
        <v>400</v>
      </c>
      <c r="B404" s="7" t="s">
        <v>30</v>
      </c>
      <c r="C404" s="6" t="s">
        <v>520</v>
      </c>
      <c r="D404" s="7" t="s">
        <v>907</v>
      </c>
      <c r="E404" s="7" t="s">
        <v>522</v>
      </c>
      <c r="F404" s="12">
        <v>42703</v>
      </c>
      <c r="G404" s="9">
        <v>408</v>
      </c>
      <c r="H404" s="6">
        <v>1</v>
      </c>
      <c r="I404" s="9">
        <v>408</v>
      </c>
    </row>
    <row r="405" spans="1:9" ht="14.25">
      <c r="A405" s="6">
        <v>401</v>
      </c>
      <c r="B405" s="7" t="s">
        <v>30</v>
      </c>
      <c r="C405" s="6" t="s">
        <v>520</v>
      </c>
      <c r="D405" s="7" t="s">
        <v>908</v>
      </c>
      <c r="E405" s="7" t="s">
        <v>522</v>
      </c>
      <c r="F405" s="12">
        <v>42717</v>
      </c>
      <c r="G405" s="9">
        <v>1352</v>
      </c>
      <c r="H405" s="6">
        <v>2</v>
      </c>
      <c r="I405" s="9">
        <v>676</v>
      </c>
    </row>
    <row r="406" spans="1:9" ht="14.25">
      <c r="A406" s="6">
        <v>402</v>
      </c>
      <c r="B406" s="7" t="s">
        <v>30</v>
      </c>
      <c r="C406" s="6" t="s">
        <v>520</v>
      </c>
      <c r="D406" s="7" t="s">
        <v>909</v>
      </c>
      <c r="E406" s="7" t="s">
        <v>522</v>
      </c>
      <c r="F406" s="12">
        <v>42450</v>
      </c>
      <c r="G406" s="9">
        <v>805</v>
      </c>
      <c r="H406" s="6">
        <v>1</v>
      </c>
      <c r="I406" s="9">
        <v>805</v>
      </c>
    </row>
    <row r="407" spans="1:9" ht="14.25">
      <c r="A407" s="6">
        <v>403</v>
      </c>
      <c r="B407" s="7" t="s">
        <v>30</v>
      </c>
      <c r="C407" s="6" t="s">
        <v>520</v>
      </c>
      <c r="D407" s="7" t="s">
        <v>910</v>
      </c>
      <c r="E407" s="7" t="s">
        <v>522</v>
      </c>
      <c r="F407" s="12">
        <v>42705</v>
      </c>
      <c r="G407" s="9">
        <v>1122</v>
      </c>
      <c r="H407" s="6">
        <v>2</v>
      </c>
      <c r="I407" s="9">
        <v>561</v>
      </c>
    </row>
    <row r="408" spans="1:9" ht="14.25">
      <c r="A408" s="6">
        <v>404</v>
      </c>
      <c r="B408" s="7" t="s">
        <v>30</v>
      </c>
      <c r="C408" s="6" t="s">
        <v>520</v>
      </c>
      <c r="D408" s="7" t="s">
        <v>911</v>
      </c>
      <c r="E408" s="7" t="s">
        <v>522</v>
      </c>
      <c r="F408" s="12">
        <v>42965</v>
      </c>
      <c r="G408" s="9">
        <v>1394.2</v>
      </c>
      <c r="H408" s="6">
        <v>2</v>
      </c>
      <c r="I408" s="9">
        <v>697.1</v>
      </c>
    </row>
    <row r="409" spans="1:9" ht="14.25">
      <c r="A409" s="6">
        <v>405</v>
      </c>
      <c r="B409" s="7" t="s">
        <v>30</v>
      </c>
      <c r="C409" s="6" t="s">
        <v>520</v>
      </c>
      <c r="D409" s="7" t="s">
        <v>912</v>
      </c>
      <c r="E409" s="7" t="s">
        <v>522</v>
      </c>
      <c r="F409" s="12">
        <v>43103</v>
      </c>
      <c r="G409" s="9">
        <v>2000</v>
      </c>
      <c r="H409" s="6">
        <v>1</v>
      </c>
      <c r="I409" s="9">
        <v>2000</v>
      </c>
    </row>
    <row r="410" spans="1:9" ht="14.25">
      <c r="A410" s="6">
        <v>406</v>
      </c>
      <c r="B410" s="7" t="s">
        <v>30</v>
      </c>
      <c r="C410" s="6" t="s">
        <v>520</v>
      </c>
      <c r="D410" s="7" t="s">
        <v>913</v>
      </c>
      <c r="E410" s="7" t="s">
        <v>522</v>
      </c>
      <c r="F410" s="12">
        <v>43150</v>
      </c>
      <c r="G410" s="9">
        <v>205</v>
      </c>
      <c r="H410" s="6">
        <v>1</v>
      </c>
      <c r="I410" s="9">
        <v>205</v>
      </c>
    </row>
    <row r="411" spans="1:9" ht="14.25">
      <c r="A411" s="6">
        <v>407</v>
      </c>
      <c r="B411" s="7" t="s">
        <v>30</v>
      </c>
      <c r="C411" s="6" t="s">
        <v>520</v>
      </c>
      <c r="D411" s="7" t="s">
        <v>914</v>
      </c>
      <c r="E411" s="7" t="s">
        <v>522</v>
      </c>
      <c r="F411" s="12">
        <v>43404</v>
      </c>
      <c r="G411" s="9">
        <v>337</v>
      </c>
      <c r="H411" s="6">
        <v>3</v>
      </c>
      <c r="I411" s="9">
        <v>112.3</v>
      </c>
    </row>
    <row r="412" spans="1:9" ht="14.25">
      <c r="A412" s="6">
        <v>408</v>
      </c>
      <c r="B412" s="7" t="s">
        <v>30</v>
      </c>
      <c r="C412" s="6" t="s">
        <v>520</v>
      </c>
      <c r="D412" s="7" t="s">
        <v>915</v>
      </c>
      <c r="E412" s="7" t="s">
        <v>522</v>
      </c>
      <c r="F412" s="12">
        <v>43346</v>
      </c>
      <c r="G412" s="9">
        <v>4500</v>
      </c>
      <c r="H412" s="6">
        <v>1</v>
      </c>
      <c r="I412" s="9">
        <v>4500</v>
      </c>
    </row>
    <row r="413" spans="1:9" ht="14.25">
      <c r="A413" s="6">
        <v>409</v>
      </c>
      <c r="B413" s="7" t="s">
        <v>30</v>
      </c>
      <c r="C413" s="6" t="s">
        <v>520</v>
      </c>
      <c r="D413" s="13" t="s">
        <v>916</v>
      </c>
      <c r="E413" s="7" t="s">
        <v>522</v>
      </c>
      <c r="F413" s="12">
        <v>43691</v>
      </c>
      <c r="G413" s="9">
        <v>3896</v>
      </c>
      <c r="H413" s="6">
        <v>2</v>
      </c>
      <c r="I413" s="9">
        <v>1948</v>
      </c>
    </row>
    <row r="414" spans="1:9" ht="14.25">
      <c r="A414" s="6">
        <v>410</v>
      </c>
      <c r="B414" s="7" t="s">
        <v>30</v>
      </c>
      <c r="C414" s="6" t="s">
        <v>520</v>
      </c>
      <c r="D414" s="7" t="s">
        <v>917</v>
      </c>
      <c r="E414" s="7" t="s">
        <v>522</v>
      </c>
      <c r="F414" s="12">
        <v>43804</v>
      </c>
      <c r="G414" s="9">
        <v>5308</v>
      </c>
      <c r="H414" s="6">
        <v>1</v>
      </c>
      <c r="I414" s="9">
        <v>5308</v>
      </c>
    </row>
    <row r="415" spans="1:9" ht="14.25">
      <c r="A415" s="6">
        <v>411</v>
      </c>
      <c r="B415" s="7" t="s">
        <v>30</v>
      </c>
      <c r="C415" s="6" t="s">
        <v>520</v>
      </c>
      <c r="D415" s="7" t="s">
        <v>918</v>
      </c>
      <c r="E415" s="7" t="s">
        <v>522</v>
      </c>
      <c r="F415" s="12">
        <v>43629</v>
      </c>
      <c r="G415" s="9">
        <v>1869.7</v>
      </c>
      <c r="H415" s="6">
        <v>1</v>
      </c>
      <c r="I415" s="9">
        <v>1869.7</v>
      </c>
    </row>
    <row r="416" spans="1:9" ht="14.25">
      <c r="A416" s="6">
        <v>412</v>
      </c>
      <c r="B416" s="7" t="s">
        <v>30</v>
      </c>
      <c r="C416" s="6" t="s">
        <v>520</v>
      </c>
      <c r="D416" s="7" t="s">
        <v>919</v>
      </c>
      <c r="E416" s="7" t="s">
        <v>522</v>
      </c>
      <c r="F416" s="12">
        <v>43774</v>
      </c>
      <c r="G416" s="9">
        <v>7350</v>
      </c>
      <c r="H416" s="6">
        <v>1</v>
      </c>
      <c r="I416" s="9">
        <v>7350</v>
      </c>
    </row>
    <row r="417" spans="1:9" ht="14.25">
      <c r="A417" s="6">
        <v>413</v>
      </c>
      <c r="B417" s="7" t="s">
        <v>30</v>
      </c>
      <c r="C417" s="6" t="s">
        <v>520</v>
      </c>
      <c r="D417" s="7" t="s">
        <v>920</v>
      </c>
      <c r="E417" s="7" t="s">
        <v>522</v>
      </c>
      <c r="F417" s="12">
        <v>44025</v>
      </c>
      <c r="G417" s="9">
        <v>500</v>
      </c>
      <c r="H417" s="6">
        <v>1</v>
      </c>
      <c r="I417" s="9">
        <v>500</v>
      </c>
    </row>
    <row r="418" spans="1:9" ht="14.25">
      <c r="A418" s="6">
        <v>414</v>
      </c>
      <c r="B418" s="7" t="s">
        <v>30</v>
      </c>
      <c r="C418" s="6" t="s">
        <v>520</v>
      </c>
      <c r="D418" s="7" t="s">
        <v>921</v>
      </c>
      <c r="E418" s="7" t="s">
        <v>522</v>
      </c>
      <c r="F418" s="12">
        <v>44400</v>
      </c>
      <c r="G418" s="9">
        <v>580</v>
      </c>
      <c r="H418" s="6">
        <v>1</v>
      </c>
      <c r="I418" s="9">
        <v>580</v>
      </c>
    </row>
    <row r="419" spans="1:9" ht="14.25">
      <c r="A419" s="6">
        <v>415</v>
      </c>
      <c r="B419" s="7" t="s">
        <v>30</v>
      </c>
      <c r="C419" s="6" t="s">
        <v>520</v>
      </c>
      <c r="D419" s="7" t="s">
        <v>922</v>
      </c>
      <c r="E419" s="7" t="s">
        <v>522</v>
      </c>
      <c r="F419" s="12">
        <v>44519</v>
      </c>
      <c r="G419" s="9">
        <v>6815</v>
      </c>
      <c r="H419" s="6">
        <v>1</v>
      </c>
      <c r="I419" s="9">
        <v>6815</v>
      </c>
    </row>
    <row r="420" spans="1:9" ht="14.25">
      <c r="A420" s="6">
        <v>416</v>
      </c>
      <c r="B420" s="7" t="s">
        <v>30</v>
      </c>
      <c r="C420" s="6" t="s">
        <v>520</v>
      </c>
      <c r="D420" s="7" t="s">
        <v>923</v>
      </c>
      <c r="E420" s="7" t="s">
        <v>522</v>
      </c>
      <c r="F420" s="12">
        <v>44216</v>
      </c>
      <c r="G420" s="9">
        <v>9608</v>
      </c>
      <c r="H420" s="6">
        <v>1</v>
      </c>
      <c r="I420" s="9">
        <v>9608</v>
      </c>
    </row>
    <row r="421" spans="1:9" ht="14.25">
      <c r="A421" s="6">
        <v>417</v>
      </c>
      <c r="B421" s="7" t="s">
        <v>30</v>
      </c>
      <c r="C421" s="6" t="s">
        <v>520</v>
      </c>
      <c r="D421" s="7" t="s">
        <v>924</v>
      </c>
      <c r="E421" s="7" t="s">
        <v>522</v>
      </c>
      <c r="F421" s="12">
        <v>45266</v>
      </c>
      <c r="G421" s="9">
        <v>3105</v>
      </c>
      <c r="H421" s="6">
        <v>1</v>
      </c>
      <c r="I421" s="9">
        <v>3105</v>
      </c>
    </row>
    <row r="422" spans="1:9" ht="14.25">
      <c r="A422" s="6">
        <v>418</v>
      </c>
      <c r="B422" s="7" t="s">
        <v>30</v>
      </c>
      <c r="C422" s="6" t="s">
        <v>520</v>
      </c>
      <c r="D422" s="7" t="s">
        <v>925</v>
      </c>
      <c r="E422" s="7" t="s">
        <v>522</v>
      </c>
      <c r="F422" s="12">
        <v>45128</v>
      </c>
      <c r="G422" s="9">
        <v>345</v>
      </c>
      <c r="H422" s="6">
        <v>1</v>
      </c>
      <c r="I422" s="9">
        <v>345</v>
      </c>
    </row>
    <row r="423" spans="1:9" ht="14.25">
      <c r="A423" s="6">
        <v>419</v>
      </c>
      <c r="B423" s="7" t="s">
        <v>30</v>
      </c>
      <c r="C423" s="6" t="s">
        <v>520</v>
      </c>
      <c r="D423" s="7" t="s">
        <v>926</v>
      </c>
      <c r="E423" s="7" t="s">
        <v>522</v>
      </c>
      <c r="F423" s="12">
        <v>45215</v>
      </c>
      <c r="G423" s="9">
        <v>360</v>
      </c>
      <c r="H423" s="6">
        <v>1</v>
      </c>
      <c r="I423" s="9">
        <v>360</v>
      </c>
    </row>
    <row r="424" spans="1:9" ht="14.25">
      <c r="A424" s="6">
        <v>420</v>
      </c>
      <c r="B424" s="7" t="s">
        <v>30</v>
      </c>
      <c r="C424" s="6" t="s">
        <v>520</v>
      </c>
      <c r="D424" s="7" t="s">
        <v>927</v>
      </c>
      <c r="E424" s="7" t="s">
        <v>522</v>
      </c>
      <c r="F424" s="12">
        <v>45111</v>
      </c>
      <c r="G424" s="9">
        <v>8041</v>
      </c>
      <c r="H424" s="6">
        <v>1</v>
      </c>
      <c r="I424" s="9">
        <v>8041</v>
      </c>
    </row>
    <row r="425" spans="1:9" ht="14.25">
      <c r="A425" s="6">
        <v>421</v>
      </c>
      <c r="B425" s="7" t="s">
        <v>30</v>
      </c>
      <c r="C425" s="6" t="s">
        <v>520</v>
      </c>
      <c r="D425" s="7" t="s">
        <v>928</v>
      </c>
      <c r="E425" s="7" t="s">
        <v>522</v>
      </c>
      <c r="F425" s="12">
        <v>45623</v>
      </c>
      <c r="G425" s="9">
        <v>678</v>
      </c>
      <c r="H425" s="6">
        <v>1</v>
      </c>
      <c r="I425" s="9">
        <v>678</v>
      </c>
    </row>
    <row r="426" spans="1:9" ht="14.25">
      <c r="A426" s="6">
        <v>422</v>
      </c>
      <c r="B426" s="7" t="s">
        <v>30</v>
      </c>
      <c r="C426" s="6" t="s">
        <v>520</v>
      </c>
      <c r="D426" s="7" t="s">
        <v>929</v>
      </c>
      <c r="E426" s="7" t="s">
        <v>522</v>
      </c>
      <c r="F426" s="12">
        <v>45329</v>
      </c>
      <c r="G426" s="9">
        <v>266.39999999999998</v>
      </c>
      <c r="H426" s="6">
        <v>1</v>
      </c>
      <c r="I426" s="9">
        <v>266.39999999999998</v>
      </c>
    </row>
    <row r="427" spans="1:9" ht="14.25">
      <c r="A427" s="6">
        <v>423</v>
      </c>
      <c r="B427" s="7" t="s">
        <v>30</v>
      </c>
      <c r="C427" s="6" t="s">
        <v>520</v>
      </c>
      <c r="D427" s="7" t="s">
        <v>930</v>
      </c>
      <c r="E427" s="7" t="s">
        <v>522</v>
      </c>
      <c r="F427" s="12">
        <v>45309</v>
      </c>
      <c r="G427" s="9">
        <v>591.5</v>
      </c>
      <c r="H427" s="6">
        <v>1</v>
      </c>
      <c r="I427" s="9">
        <v>591.5</v>
      </c>
    </row>
    <row r="428" spans="1:9" ht="14.25">
      <c r="A428" s="6">
        <v>424</v>
      </c>
      <c r="B428" s="7" t="s">
        <v>30</v>
      </c>
      <c r="C428" s="6" t="s">
        <v>536</v>
      </c>
      <c r="D428" s="7" t="s">
        <v>931</v>
      </c>
      <c r="E428" s="7" t="s">
        <v>522</v>
      </c>
      <c r="F428" s="12">
        <v>45615</v>
      </c>
      <c r="G428" s="9">
        <v>2960</v>
      </c>
      <c r="H428" s="6">
        <v>2</v>
      </c>
      <c r="I428" s="9">
        <v>1480</v>
      </c>
    </row>
    <row r="429" spans="1:9" ht="14.25">
      <c r="A429" s="6">
        <v>425</v>
      </c>
      <c r="B429" s="7" t="s">
        <v>30</v>
      </c>
      <c r="C429" s="6" t="s">
        <v>520</v>
      </c>
      <c r="D429" s="7" t="s">
        <v>932</v>
      </c>
      <c r="E429" s="7" t="s">
        <v>522</v>
      </c>
      <c r="F429" s="12">
        <v>45478</v>
      </c>
      <c r="G429" s="9">
        <v>882</v>
      </c>
      <c r="H429" s="6">
        <v>1</v>
      </c>
      <c r="I429" s="9">
        <v>882</v>
      </c>
    </row>
    <row r="430" spans="1:9" ht="14.25">
      <c r="A430" s="6">
        <v>426</v>
      </c>
      <c r="B430" s="7" t="s">
        <v>30</v>
      </c>
      <c r="C430" s="6" t="s">
        <v>536</v>
      </c>
      <c r="D430" s="7" t="s">
        <v>933</v>
      </c>
      <c r="E430" s="7" t="s">
        <v>522</v>
      </c>
      <c r="F430" s="12">
        <v>45609</v>
      </c>
      <c r="G430" s="9">
        <v>1200</v>
      </c>
      <c r="H430" s="6">
        <v>2</v>
      </c>
      <c r="I430" s="9">
        <v>600</v>
      </c>
    </row>
    <row r="431" spans="1:9" ht="14.25">
      <c r="A431" s="6">
        <v>427</v>
      </c>
      <c r="B431" s="7" t="s">
        <v>153</v>
      </c>
      <c r="C431" s="6" t="s">
        <v>536</v>
      </c>
      <c r="D431" s="7" t="s">
        <v>910</v>
      </c>
      <c r="E431" s="7" t="s">
        <v>522</v>
      </c>
      <c r="F431" s="12">
        <v>42705</v>
      </c>
      <c r="G431" s="9">
        <v>1122</v>
      </c>
      <c r="H431" s="6">
        <v>2</v>
      </c>
      <c r="I431" s="9">
        <v>561</v>
      </c>
    </row>
    <row r="432" spans="1:9" ht="14.25">
      <c r="A432" s="6">
        <v>428</v>
      </c>
      <c r="B432" s="7" t="s">
        <v>153</v>
      </c>
      <c r="C432" s="6" t="s">
        <v>520</v>
      </c>
      <c r="D432" s="7" t="s">
        <v>934</v>
      </c>
      <c r="E432" s="7" t="s">
        <v>522</v>
      </c>
      <c r="F432" s="12">
        <v>45443</v>
      </c>
      <c r="G432" s="9">
        <v>1813</v>
      </c>
      <c r="H432" s="6">
        <v>1</v>
      </c>
      <c r="I432" s="9">
        <v>1813</v>
      </c>
    </row>
    <row r="433" spans="1:9" ht="14.25">
      <c r="A433" s="6">
        <v>429</v>
      </c>
      <c r="B433" s="7" t="s">
        <v>54</v>
      </c>
      <c r="C433" s="6" t="s">
        <v>520</v>
      </c>
      <c r="D433" s="7" t="s">
        <v>935</v>
      </c>
      <c r="E433" s="7" t="s">
        <v>522</v>
      </c>
      <c r="F433" s="12">
        <v>44379</v>
      </c>
      <c r="G433" s="9">
        <v>5665</v>
      </c>
      <c r="H433" s="6">
        <v>1</v>
      </c>
      <c r="I433" s="9">
        <v>5665</v>
      </c>
    </row>
    <row r="434" spans="1:9" ht="14.25">
      <c r="A434" s="6">
        <v>430</v>
      </c>
      <c r="B434" s="7" t="s">
        <v>54</v>
      </c>
      <c r="C434" s="6" t="s">
        <v>520</v>
      </c>
      <c r="D434" s="7" t="s">
        <v>936</v>
      </c>
      <c r="E434" s="7" t="s">
        <v>522</v>
      </c>
      <c r="F434" s="12">
        <v>44452</v>
      </c>
      <c r="G434" s="9">
        <v>5304</v>
      </c>
      <c r="H434" s="6">
        <v>1</v>
      </c>
      <c r="I434" s="9">
        <v>5304</v>
      </c>
    </row>
    <row r="435" spans="1:9" ht="14.25">
      <c r="A435" s="6">
        <v>431</v>
      </c>
      <c r="B435" s="7" t="s">
        <v>54</v>
      </c>
      <c r="C435" s="6" t="s">
        <v>520</v>
      </c>
      <c r="D435" s="7" t="s">
        <v>937</v>
      </c>
      <c r="E435" s="7" t="s">
        <v>522</v>
      </c>
      <c r="F435" s="12">
        <v>44944</v>
      </c>
      <c r="G435" s="9">
        <v>5560</v>
      </c>
      <c r="H435" s="6">
        <v>1</v>
      </c>
      <c r="I435" s="9">
        <v>5560</v>
      </c>
    </row>
    <row r="436" spans="1:9" ht="14.25">
      <c r="A436" s="6">
        <v>432</v>
      </c>
      <c r="B436" s="7" t="s">
        <v>20</v>
      </c>
      <c r="C436" s="6" t="s">
        <v>520</v>
      </c>
      <c r="D436" s="7" t="s">
        <v>938</v>
      </c>
      <c r="E436" s="7" t="s">
        <v>522</v>
      </c>
      <c r="F436" s="12">
        <v>42065</v>
      </c>
      <c r="G436" s="9">
        <v>10460</v>
      </c>
      <c r="H436" s="6">
        <v>1</v>
      </c>
      <c r="I436" s="9">
        <v>10460</v>
      </c>
    </row>
    <row r="437" spans="1:9" ht="14.25">
      <c r="A437" s="6">
        <v>433</v>
      </c>
      <c r="B437" s="7" t="s">
        <v>20</v>
      </c>
      <c r="C437" s="6" t="s">
        <v>520</v>
      </c>
      <c r="D437" s="7" t="s">
        <v>939</v>
      </c>
      <c r="E437" s="7" t="s">
        <v>522</v>
      </c>
      <c r="F437" s="12">
        <v>42229</v>
      </c>
      <c r="G437" s="9">
        <v>830</v>
      </c>
      <c r="H437" s="6">
        <v>1</v>
      </c>
      <c r="I437" s="9">
        <v>830</v>
      </c>
    </row>
    <row r="438" spans="1:9" ht="14.25">
      <c r="A438" s="6">
        <v>434</v>
      </c>
      <c r="B438" s="7" t="s">
        <v>20</v>
      </c>
      <c r="C438" s="6" t="s">
        <v>520</v>
      </c>
      <c r="D438" s="7" t="s">
        <v>940</v>
      </c>
      <c r="E438" s="7" t="s">
        <v>522</v>
      </c>
      <c r="F438" s="12">
        <v>42313</v>
      </c>
      <c r="G438" s="9">
        <v>1871</v>
      </c>
      <c r="H438" s="6">
        <v>1</v>
      </c>
      <c r="I438" s="9">
        <v>1871</v>
      </c>
    </row>
    <row r="439" spans="1:9" ht="14.25">
      <c r="A439" s="6">
        <v>435</v>
      </c>
      <c r="B439" s="7" t="s">
        <v>20</v>
      </c>
      <c r="C439" s="6" t="s">
        <v>520</v>
      </c>
      <c r="D439" s="7" t="s">
        <v>941</v>
      </c>
      <c r="E439" s="7" t="s">
        <v>522</v>
      </c>
      <c r="F439" s="12">
        <v>42689</v>
      </c>
      <c r="G439" s="9">
        <v>1510</v>
      </c>
      <c r="H439" s="6">
        <v>1</v>
      </c>
      <c r="I439" s="9">
        <v>1510</v>
      </c>
    </row>
    <row r="440" spans="1:9" ht="14.25">
      <c r="A440" s="6">
        <v>436</v>
      </c>
      <c r="B440" s="7" t="s">
        <v>20</v>
      </c>
      <c r="C440" s="6" t="s">
        <v>520</v>
      </c>
      <c r="D440" s="7" t="s">
        <v>942</v>
      </c>
      <c r="E440" s="7" t="s">
        <v>522</v>
      </c>
      <c r="F440" s="12">
        <v>42689</v>
      </c>
      <c r="G440" s="9">
        <v>1710</v>
      </c>
      <c r="H440" s="6">
        <v>1</v>
      </c>
      <c r="I440" s="9">
        <v>1710</v>
      </c>
    </row>
    <row r="441" spans="1:9" ht="14.25">
      <c r="A441" s="6">
        <v>437</v>
      </c>
      <c r="B441" s="7" t="s">
        <v>20</v>
      </c>
      <c r="C441" s="6" t="s">
        <v>520</v>
      </c>
      <c r="D441" s="7" t="s">
        <v>943</v>
      </c>
      <c r="E441" s="7" t="s">
        <v>522</v>
      </c>
      <c r="F441" s="12">
        <v>42947</v>
      </c>
      <c r="G441" s="9">
        <v>882</v>
      </c>
      <c r="H441" s="6">
        <v>1</v>
      </c>
      <c r="I441" s="9">
        <v>882</v>
      </c>
    </row>
    <row r="442" spans="1:9" ht="14.25">
      <c r="A442" s="6">
        <v>438</v>
      </c>
      <c r="B442" s="7" t="s">
        <v>20</v>
      </c>
      <c r="C442" s="6" t="s">
        <v>520</v>
      </c>
      <c r="D442" s="7" t="s">
        <v>944</v>
      </c>
      <c r="E442" s="7" t="s">
        <v>522</v>
      </c>
      <c r="F442" s="12">
        <v>43516</v>
      </c>
      <c r="G442" s="9">
        <v>17350</v>
      </c>
      <c r="H442" s="6">
        <v>1</v>
      </c>
      <c r="I442" s="9">
        <v>17350</v>
      </c>
    </row>
    <row r="443" spans="1:9" ht="14.25">
      <c r="A443" s="6">
        <v>439</v>
      </c>
      <c r="B443" s="7" t="s">
        <v>20</v>
      </c>
      <c r="C443" s="6" t="s">
        <v>520</v>
      </c>
      <c r="D443" s="7" t="s">
        <v>945</v>
      </c>
      <c r="E443" s="7" t="s">
        <v>522</v>
      </c>
      <c r="F443" s="12">
        <v>43686</v>
      </c>
      <c r="G443" s="9">
        <v>765</v>
      </c>
      <c r="H443" s="6">
        <v>1</v>
      </c>
      <c r="I443" s="9">
        <v>765</v>
      </c>
    </row>
    <row r="444" spans="1:9" ht="14.25">
      <c r="A444" s="6">
        <v>440</v>
      </c>
      <c r="B444" s="7" t="s">
        <v>20</v>
      </c>
      <c r="C444" s="6" t="s">
        <v>520</v>
      </c>
      <c r="D444" s="7" t="s">
        <v>946</v>
      </c>
      <c r="E444" s="7" t="s">
        <v>522</v>
      </c>
      <c r="F444" s="12">
        <v>43623</v>
      </c>
      <c r="G444" s="9">
        <v>1305</v>
      </c>
      <c r="H444" s="6">
        <v>1</v>
      </c>
      <c r="I444" s="9">
        <v>1305</v>
      </c>
    </row>
    <row r="445" spans="1:9" ht="14.25">
      <c r="A445" s="6">
        <v>441</v>
      </c>
      <c r="B445" s="7" t="s">
        <v>20</v>
      </c>
      <c r="C445" s="6" t="s">
        <v>520</v>
      </c>
      <c r="D445" s="7" t="s">
        <v>947</v>
      </c>
      <c r="E445" s="7" t="s">
        <v>522</v>
      </c>
      <c r="F445" s="12">
        <v>43559</v>
      </c>
      <c r="G445" s="9">
        <v>2805</v>
      </c>
      <c r="H445" s="6">
        <v>1</v>
      </c>
      <c r="I445" s="9">
        <v>2805</v>
      </c>
    </row>
    <row r="446" spans="1:9" ht="14.25">
      <c r="A446" s="6">
        <v>442</v>
      </c>
      <c r="B446" s="7" t="s">
        <v>20</v>
      </c>
      <c r="C446" s="6" t="s">
        <v>520</v>
      </c>
      <c r="D446" s="7" t="s">
        <v>948</v>
      </c>
      <c r="E446" s="7" t="s">
        <v>522</v>
      </c>
      <c r="F446" s="12">
        <v>43563</v>
      </c>
      <c r="G446" s="9">
        <v>2509</v>
      </c>
      <c r="H446" s="6">
        <v>1</v>
      </c>
      <c r="I446" s="9">
        <v>2509</v>
      </c>
    </row>
    <row r="447" spans="1:9" ht="14.25">
      <c r="A447" s="6">
        <v>443</v>
      </c>
      <c r="B447" s="7" t="s">
        <v>20</v>
      </c>
      <c r="C447" s="6" t="s">
        <v>520</v>
      </c>
      <c r="D447" s="7" t="s">
        <v>949</v>
      </c>
      <c r="E447" s="7" t="s">
        <v>522</v>
      </c>
      <c r="F447" s="12">
        <v>43627</v>
      </c>
      <c r="G447" s="9">
        <v>1323</v>
      </c>
      <c r="H447" s="6">
        <v>1</v>
      </c>
      <c r="I447" s="9">
        <v>1323</v>
      </c>
    </row>
    <row r="448" spans="1:9" ht="14.25">
      <c r="A448" s="6">
        <v>444</v>
      </c>
      <c r="B448" s="7" t="s">
        <v>20</v>
      </c>
      <c r="C448" s="6" t="s">
        <v>520</v>
      </c>
      <c r="D448" s="7" t="s">
        <v>950</v>
      </c>
      <c r="E448" s="7" t="s">
        <v>522</v>
      </c>
      <c r="F448" s="12">
        <v>43635</v>
      </c>
      <c r="G448" s="9">
        <v>151</v>
      </c>
      <c r="H448" s="6">
        <v>1</v>
      </c>
      <c r="I448" s="9">
        <v>151</v>
      </c>
    </row>
    <row r="449" spans="1:9" ht="14.25">
      <c r="A449" s="6">
        <v>445</v>
      </c>
      <c r="B449" s="7" t="s">
        <v>20</v>
      </c>
      <c r="C449" s="6" t="s">
        <v>520</v>
      </c>
      <c r="D449" s="7" t="s">
        <v>951</v>
      </c>
      <c r="E449" s="7" t="s">
        <v>522</v>
      </c>
      <c r="F449" s="12">
        <v>44200</v>
      </c>
      <c r="G449" s="9">
        <v>294</v>
      </c>
      <c r="H449" s="6">
        <v>1</v>
      </c>
      <c r="I449" s="9">
        <v>294</v>
      </c>
    </row>
    <row r="450" spans="1:9" ht="14.25">
      <c r="A450" s="6">
        <v>446</v>
      </c>
      <c r="B450" s="7" t="s">
        <v>20</v>
      </c>
      <c r="C450" s="6" t="s">
        <v>520</v>
      </c>
      <c r="D450" s="7" t="s">
        <v>952</v>
      </c>
      <c r="E450" s="7" t="s">
        <v>522</v>
      </c>
      <c r="F450" s="12">
        <v>44209</v>
      </c>
      <c r="G450" s="9">
        <v>1413.8</v>
      </c>
      <c r="H450" s="6">
        <v>1</v>
      </c>
      <c r="I450" s="9">
        <v>1413.8</v>
      </c>
    </row>
    <row r="451" spans="1:9" ht="14.25">
      <c r="A451" s="6">
        <v>447</v>
      </c>
      <c r="B451" s="7" t="s">
        <v>20</v>
      </c>
      <c r="C451" s="6" t="s">
        <v>520</v>
      </c>
      <c r="D451" s="7" t="s">
        <v>953</v>
      </c>
      <c r="E451" s="7" t="s">
        <v>522</v>
      </c>
      <c r="F451" s="12">
        <v>44505</v>
      </c>
      <c r="G451" s="9">
        <v>3528.6</v>
      </c>
      <c r="H451" s="6">
        <v>1</v>
      </c>
      <c r="I451" s="9">
        <v>3528.6</v>
      </c>
    </row>
    <row r="452" spans="1:9" ht="14.25">
      <c r="A452" s="6">
        <v>448</v>
      </c>
      <c r="B452" s="7" t="s">
        <v>20</v>
      </c>
      <c r="C452" s="6" t="s">
        <v>520</v>
      </c>
      <c r="D452" s="7" t="s">
        <v>954</v>
      </c>
      <c r="E452" s="7" t="s">
        <v>522</v>
      </c>
      <c r="F452" s="12">
        <v>44866</v>
      </c>
      <c r="G452" s="9">
        <v>19523</v>
      </c>
      <c r="H452" s="6">
        <v>1</v>
      </c>
      <c r="I452" s="9">
        <v>19523</v>
      </c>
    </row>
    <row r="453" spans="1:9" ht="14.25">
      <c r="A453" s="6">
        <v>449</v>
      </c>
      <c r="B453" s="7" t="s">
        <v>20</v>
      </c>
      <c r="C453" s="6" t="s">
        <v>520</v>
      </c>
      <c r="D453" s="7" t="s">
        <v>955</v>
      </c>
      <c r="E453" s="7" t="s">
        <v>522</v>
      </c>
      <c r="F453" s="12">
        <v>44797</v>
      </c>
      <c r="G453" s="9">
        <v>1211</v>
      </c>
      <c r="H453" s="6">
        <v>1</v>
      </c>
      <c r="I453" s="9">
        <v>1211</v>
      </c>
    </row>
    <row r="454" spans="1:9" ht="14.25">
      <c r="A454" s="6">
        <v>450</v>
      </c>
      <c r="B454" s="7" t="s">
        <v>20</v>
      </c>
      <c r="C454" s="6" t="s">
        <v>520</v>
      </c>
      <c r="D454" s="7" t="s">
        <v>956</v>
      </c>
      <c r="E454" s="7" t="s">
        <v>522</v>
      </c>
      <c r="F454" s="12">
        <v>45588</v>
      </c>
      <c r="G454" s="9">
        <v>542</v>
      </c>
      <c r="H454" s="6">
        <v>1</v>
      </c>
      <c r="I454" s="9">
        <v>542</v>
      </c>
    </row>
    <row r="455" spans="1:9" ht="14.25">
      <c r="A455" s="6">
        <v>451</v>
      </c>
      <c r="B455" s="7" t="s">
        <v>20</v>
      </c>
      <c r="C455" s="6" t="s">
        <v>520</v>
      </c>
      <c r="D455" s="7" t="s">
        <v>957</v>
      </c>
      <c r="E455" s="7" t="s">
        <v>522</v>
      </c>
      <c r="F455" s="12">
        <v>45588</v>
      </c>
      <c r="G455" s="9">
        <v>235</v>
      </c>
      <c r="H455" s="6">
        <v>1</v>
      </c>
      <c r="I455" s="9">
        <v>235</v>
      </c>
    </row>
    <row r="456" spans="1:9" ht="14.25">
      <c r="A456" s="6">
        <v>452</v>
      </c>
      <c r="B456" s="7" t="s">
        <v>20</v>
      </c>
      <c r="C456" s="6" t="s">
        <v>520</v>
      </c>
      <c r="D456" s="7" t="s">
        <v>931</v>
      </c>
      <c r="E456" s="7" t="s">
        <v>522</v>
      </c>
      <c r="F456" s="12">
        <v>45615</v>
      </c>
      <c r="G456" s="9">
        <v>2960</v>
      </c>
      <c r="H456" s="6">
        <v>2</v>
      </c>
      <c r="I456" s="9">
        <v>1480</v>
      </c>
    </row>
    <row r="457" spans="1:9" ht="14.25">
      <c r="A457" s="6">
        <v>453</v>
      </c>
      <c r="B457" s="7" t="s">
        <v>344</v>
      </c>
      <c r="C457" s="6" t="s">
        <v>520</v>
      </c>
      <c r="D457" s="7" t="s">
        <v>650</v>
      </c>
      <c r="E457" s="7" t="s">
        <v>522</v>
      </c>
      <c r="F457" s="12">
        <v>44162</v>
      </c>
      <c r="G457" s="9">
        <v>702</v>
      </c>
      <c r="H457" s="6">
        <v>2</v>
      </c>
      <c r="I457" s="9">
        <v>351</v>
      </c>
    </row>
    <row r="458" spans="1:9" ht="14.25">
      <c r="A458" s="6">
        <v>454</v>
      </c>
      <c r="B458" s="7" t="s">
        <v>344</v>
      </c>
      <c r="C458" s="6" t="s">
        <v>520</v>
      </c>
      <c r="D458" s="7" t="s">
        <v>958</v>
      </c>
      <c r="E458" s="7" t="s">
        <v>522</v>
      </c>
      <c r="F458" s="12">
        <v>44652</v>
      </c>
      <c r="G458" s="9">
        <v>322</v>
      </c>
      <c r="H458" s="6">
        <v>1</v>
      </c>
      <c r="I458" s="9">
        <v>322</v>
      </c>
    </row>
    <row r="459" spans="1:9" ht="14.25">
      <c r="A459" s="6">
        <v>455</v>
      </c>
      <c r="B459" s="7" t="s">
        <v>344</v>
      </c>
      <c r="C459" s="6" t="s">
        <v>520</v>
      </c>
      <c r="D459" s="7" t="s">
        <v>959</v>
      </c>
      <c r="E459" s="7" t="s">
        <v>522</v>
      </c>
      <c r="F459" s="12">
        <v>45369</v>
      </c>
      <c r="G459" s="9">
        <v>466</v>
      </c>
      <c r="H459" s="6">
        <v>1</v>
      </c>
      <c r="I459" s="9">
        <v>466</v>
      </c>
    </row>
    <row r="460" spans="1:9" ht="14.25">
      <c r="A460" s="6">
        <v>456</v>
      </c>
      <c r="B460" s="7" t="s">
        <v>118</v>
      </c>
      <c r="C460" s="6" t="s">
        <v>520</v>
      </c>
      <c r="D460" s="7" t="s">
        <v>960</v>
      </c>
      <c r="E460" s="7" t="s">
        <v>522</v>
      </c>
      <c r="F460" s="12">
        <v>43837</v>
      </c>
      <c r="G460" s="9">
        <v>1700</v>
      </c>
      <c r="H460" s="6">
        <v>1</v>
      </c>
      <c r="I460" s="9">
        <v>1700</v>
      </c>
    </row>
    <row r="461" spans="1:9" ht="14.25">
      <c r="A461" s="6">
        <v>457</v>
      </c>
      <c r="B461" s="7" t="s">
        <v>118</v>
      </c>
      <c r="C461" s="6" t="s">
        <v>520</v>
      </c>
      <c r="D461" s="7" t="s">
        <v>961</v>
      </c>
      <c r="E461" s="7" t="s">
        <v>522</v>
      </c>
      <c r="F461" s="12">
        <v>44952</v>
      </c>
      <c r="G461" s="9">
        <v>2679</v>
      </c>
      <c r="H461" s="6">
        <v>1</v>
      </c>
      <c r="I461" s="9">
        <v>2679</v>
      </c>
    </row>
    <row r="462" spans="1:9" ht="14.25">
      <c r="A462" s="6">
        <v>458</v>
      </c>
      <c r="B462" s="7" t="s">
        <v>222</v>
      </c>
      <c r="C462" s="6" t="s">
        <v>520</v>
      </c>
      <c r="D462" s="7" t="s">
        <v>962</v>
      </c>
      <c r="E462" s="7" t="s">
        <v>522</v>
      </c>
      <c r="F462" s="12">
        <v>44434</v>
      </c>
      <c r="G462" s="9">
        <v>1002</v>
      </c>
      <c r="H462" s="6">
        <v>1</v>
      </c>
      <c r="I462" s="9">
        <v>1002</v>
      </c>
    </row>
    <row r="463" spans="1:9" ht="14.25">
      <c r="A463" s="6">
        <v>459</v>
      </c>
      <c r="B463" s="7" t="s">
        <v>222</v>
      </c>
      <c r="C463" s="6" t="s">
        <v>520</v>
      </c>
      <c r="D463" s="7" t="s">
        <v>963</v>
      </c>
      <c r="E463" s="7" t="s">
        <v>522</v>
      </c>
      <c r="F463" s="12">
        <v>44750</v>
      </c>
      <c r="G463" s="9">
        <v>335</v>
      </c>
      <c r="H463" s="6">
        <v>1</v>
      </c>
      <c r="I463" s="9">
        <v>335</v>
      </c>
    </row>
    <row r="464" spans="1:9" ht="14.25">
      <c r="A464" s="6">
        <v>460</v>
      </c>
      <c r="B464" s="7" t="s">
        <v>222</v>
      </c>
      <c r="C464" s="6" t="s">
        <v>520</v>
      </c>
      <c r="D464" s="7" t="s">
        <v>964</v>
      </c>
      <c r="E464" s="7" t="s">
        <v>522</v>
      </c>
      <c r="F464" s="12">
        <v>44578</v>
      </c>
      <c r="G464" s="9">
        <v>223</v>
      </c>
      <c r="H464" s="6">
        <v>1</v>
      </c>
      <c r="I464" s="9">
        <v>223</v>
      </c>
    </row>
    <row r="465" spans="1:9" ht="14.25">
      <c r="A465" s="6">
        <v>461</v>
      </c>
      <c r="B465" s="7" t="s">
        <v>222</v>
      </c>
      <c r="C465" s="6" t="s">
        <v>520</v>
      </c>
      <c r="D465" s="7" t="s">
        <v>965</v>
      </c>
      <c r="E465" s="7" t="s">
        <v>522</v>
      </c>
      <c r="F465" s="12">
        <v>45443</v>
      </c>
      <c r="G465" s="9">
        <v>809</v>
      </c>
      <c r="H465" s="6">
        <v>1</v>
      </c>
      <c r="I465" s="9">
        <v>809</v>
      </c>
    </row>
    <row r="466" spans="1:9" ht="14.25">
      <c r="A466" s="6">
        <v>462</v>
      </c>
      <c r="B466" s="7" t="s">
        <v>222</v>
      </c>
      <c r="C466" s="6" t="s">
        <v>520</v>
      </c>
      <c r="D466" s="7" t="s">
        <v>966</v>
      </c>
      <c r="E466" s="7" t="s">
        <v>522</v>
      </c>
      <c r="F466" s="12">
        <v>45628</v>
      </c>
      <c r="G466" s="9">
        <v>530</v>
      </c>
      <c r="H466" s="6">
        <v>1</v>
      </c>
      <c r="I466" s="9">
        <v>530</v>
      </c>
    </row>
    <row r="467" spans="1:9" ht="14.25">
      <c r="A467" s="6">
        <v>463</v>
      </c>
      <c r="B467" s="7" t="s">
        <v>222</v>
      </c>
      <c r="C467" s="6" t="s">
        <v>520</v>
      </c>
      <c r="D467" s="7" t="s">
        <v>967</v>
      </c>
      <c r="E467" s="7" t="s">
        <v>522</v>
      </c>
      <c r="F467" s="12">
        <v>45407</v>
      </c>
      <c r="G467" s="9">
        <v>1033</v>
      </c>
      <c r="H467" s="6">
        <v>1</v>
      </c>
      <c r="I467" s="9">
        <v>1033</v>
      </c>
    </row>
    <row r="468" spans="1:9" ht="14.25">
      <c r="A468" s="6">
        <v>464</v>
      </c>
      <c r="B468" s="7" t="s">
        <v>140</v>
      </c>
      <c r="C468" s="6" t="s">
        <v>520</v>
      </c>
      <c r="D468" s="7" t="s">
        <v>968</v>
      </c>
      <c r="E468" s="7" t="s">
        <v>522</v>
      </c>
      <c r="F468" s="12">
        <v>43290</v>
      </c>
      <c r="G468" s="9">
        <v>28</v>
      </c>
      <c r="H468" s="6">
        <v>1</v>
      </c>
      <c r="I468" s="9">
        <v>28</v>
      </c>
    </row>
    <row r="469" spans="1:9" ht="14.25">
      <c r="A469" s="6">
        <v>465</v>
      </c>
      <c r="B469" s="7" t="s">
        <v>140</v>
      </c>
      <c r="C469" s="6" t="s">
        <v>520</v>
      </c>
      <c r="D469" s="7" t="s">
        <v>969</v>
      </c>
      <c r="E469" s="7" t="s">
        <v>522</v>
      </c>
      <c r="F469" s="12">
        <v>43952</v>
      </c>
      <c r="G469" s="9">
        <v>170.1</v>
      </c>
      <c r="H469" s="6">
        <v>1</v>
      </c>
      <c r="I469" s="9">
        <v>170.1</v>
      </c>
    </row>
    <row r="470" spans="1:9" ht="14.25">
      <c r="A470" s="6">
        <v>466</v>
      </c>
      <c r="B470" s="7" t="s">
        <v>140</v>
      </c>
      <c r="C470" s="6" t="s">
        <v>520</v>
      </c>
      <c r="D470" s="7" t="s">
        <v>970</v>
      </c>
      <c r="E470" s="7" t="s">
        <v>522</v>
      </c>
      <c r="F470" s="12">
        <v>44284</v>
      </c>
      <c r="G470" s="9">
        <v>2035</v>
      </c>
      <c r="H470" s="6">
        <v>1</v>
      </c>
      <c r="I470" s="9">
        <v>2035</v>
      </c>
    </row>
    <row r="471" spans="1:9" ht="14.25">
      <c r="A471" s="6">
        <v>467</v>
      </c>
      <c r="B471" s="7" t="s">
        <v>408</v>
      </c>
      <c r="C471" s="6" t="s">
        <v>536</v>
      </c>
      <c r="D471" s="7" t="s">
        <v>971</v>
      </c>
      <c r="E471" s="7" t="s">
        <v>522</v>
      </c>
      <c r="F471" s="12">
        <v>43864</v>
      </c>
      <c r="G471" s="9">
        <v>105</v>
      </c>
      <c r="H471" s="6">
        <v>2</v>
      </c>
      <c r="I471" s="9">
        <v>52.5</v>
      </c>
    </row>
    <row r="472" spans="1:9" ht="14.25">
      <c r="A472" s="6">
        <v>468</v>
      </c>
      <c r="B472" s="7" t="s">
        <v>408</v>
      </c>
      <c r="C472" s="6" t="s">
        <v>520</v>
      </c>
      <c r="D472" s="7" t="s">
        <v>972</v>
      </c>
      <c r="E472" s="7" t="s">
        <v>522</v>
      </c>
      <c r="F472" s="12">
        <v>44315</v>
      </c>
      <c r="G472" s="9">
        <v>206</v>
      </c>
      <c r="H472" s="6">
        <v>1</v>
      </c>
      <c r="I472" s="9">
        <v>206</v>
      </c>
    </row>
    <row r="473" spans="1:9" ht="14.25">
      <c r="A473" s="6">
        <v>469</v>
      </c>
      <c r="B473" s="7" t="s">
        <v>408</v>
      </c>
      <c r="C473" s="6" t="s">
        <v>520</v>
      </c>
      <c r="D473" s="7" t="s">
        <v>973</v>
      </c>
      <c r="E473" s="7" t="s">
        <v>528</v>
      </c>
      <c r="F473" s="12">
        <v>44204</v>
      </c>
      <c r="G473" s="9">
        <v>101</v>
      </c>
      <c r="H473" s="6">
        <v>1</v>
      </c>
      <c r="I473" s="9">
        <v>101</v>
      </c>
    </row>
    <row r="474" spans="1:9" ht="14.25">
      <c r="A474" s="6">
        <v>470</v>
      </c>
      <c r="B474" s="7" t="s">
        <v>408</v>
      </c>
      <c r="C474" s="6" t="s">
        <v>520</v>
      </c>
      <c r="D474" s="7" t="s">
        <v>974</v>
      </c>
      <c r="E474" s="7" t="s">
        <v>528</v>
      </c>
      <c r="F474" s="12">
        <v>45015</v>
      </c>
      <c r="G474" s="9">
        <v>37.5</v>
      </c>
      <c r="H474" s="6">
        <v>1</v>
      </c>
      <c r="I474" s="9">
        <v>37.5</v>
      </c>
    </row>
    <row r="475" spans="1:9" ht="14.25">
      <c r="A475" s="6">
        <v>471</v>
      </c>
      <c r="B475" s="7" t="s">
        <v>429</v>
      </c>
      <c r="C475" s="6" t="s">
        <v>520</v>
      </c>
      <c r="D475" s="7" t="s">
        <v>975</v>
      </c>
      <c r="E475" s="7" t="s">
        <v>522</v>
      </c>
      <c r="F475" s="12">
        <v>44608</v>
      </c>
      <c r="G475" s="9">
        <v>147</v>
      </c>
      <c r="H475" s="6">
        <v>1</v>
      </c>
      <c r="I475" s="9">
        <v>147</v>
      </c>
    </row>
    <row r="476" spans="1:9" ht="14.25">
      <c r="A476" s="6">
        <v>472</v>
      </c>
      <c r="B476" s="7" t="s">
        <v>429</v>
      </c>
      <c r="C476" s="6" t="s">
        <v>520</v>
      </c>
      <c r="D476" s="7" t="s">
        <v>976</v>
      </c>
      <c r="E476" s="7" t="s">
        <v>522</v>
      </c>
      <c r="F476" s="12">
        <v>45293</v>
      </c>
      <c r="G476" s="9">
        <v>285</v>
      </c>
      <c r="H476" s="6">
        <v>2</v>
      </c>
      <c r="I476" s="9">
        <v>142.5</v>
      </c>
    </row>
    <row r="477" spans="1:9" ht="14.25">
      <c r="A477" s="6">
        <v>473</v>
      </c>
      <c r="B477" s="7" t="s">
        <v>110</v>
      </c>
      <c r="C477" s="6" t="s">
        <v>536</v>
      </c>
      <c r="D477" s="7" t="s">
        <v>977</v>
      </c>
      <c r="E477" s="7" t="s">
        <v>522</v>
      </c>
      <c r="F477" s="12">
        <v>43216</v>
      </c>
      <c r="G477" s="9">
        <v>459</v>
      </c>
      <c r="H477" s="6">
        <v>2</v>
      </c>
      <c r="I477" s="9">
        <v>229.5</v>
      </c>
    </row>
    <row r="478" spans="1:9" ht="14.25">
      <c r="A478" s="6">
        <v>474</v>
      </c>
      <c r="B478" s="7" t="s">
        <v>110</v>
      </c>
      <c r="C478" s="6" t="s">
        <v>520</v>
      </c>
      <c r="D478" s="7" t="s">
        <v>978</v>
      </c>
      <c r="E478" s="7" t="s">
        <v>522</v>
      </c>
      <c r="F478" s="12">
        <v>43425</v>
      </c>
      <c r="G478" s="9">
        <v>221</v>
      </c>
      <c r="H478" s="6">
        <v>1</v>
      </c>
      <c r="I478" s="9">
        <v>221</v>
      </c>
    </row>
    <row r="479" spans="1:9" ht="14.25">
      <c r="A479" s="6">
        <v>475</v>
      </c>
      <c r="B479" s="7" t="s">
        <v>110</v>
      </c>
      <c r="C479" s="6" t="s">
        <v>520</v>
      </c>
      <c r="D479" s="7" t="s">
        <v>979</v>
      </c>
      <c r="E479" s="7" t="s">
        <v>522</v>
      </c>
      <c r="F479" s="12">
        <v>43906</v>
      </c>
      <c r="G479" s="9">
        <v>607</v>
      </c>
      <c r="H479" s="6">
        <v>1</v>
      </c>
      <c r="I479" s="9">
        <v>607</v>
      </c>
    </row>
    <row r="480" spans="1:9" ht="14.25">
      <c r="A480" s="6">
        <v>476</v>
      </c>
      <c r="B480" s="7" t="s">
        <v>110</v>
      </c>
      <c r="C480" s="6" t="s">
        <v>520</v>
      </c>
      <c r="D480" s="7" t="s">
        <v>980</v>
      </c>
      <c r="E480" s="7" t="s">
        <v>522</v>
      </c>
      <c r="F480" s="12">
        <v>43966</v>
      </c>
      <c r="G480" s="9">
        <v>1078</v>
      </c>
      <c r="H480" s="6">
        <v>1</v>
      </c>
      <c r="I480" s="9">
        <v>1078</v>
      </c>
    </row>
    <row r="481" spans="1:9" ht="14.25">
      <c r="A481" s="6">
        <v>477</v>
      </c>
      <c r="B481" s="7" t="s">
        <v>110</v>
      </c>
      <c r="C481" s="6" t="s">
        <v>520</v>
      </c>
      <c r="D481" s="7" t="s">
        <v>981</v>
      </c>
      <c r="E481" s="7" t="s">
        <v>522</v>
      </c>
      <c r="F481" s="12">
        <v>44638</v>
      </c>
      <c r="G481" s="9">
        <v>736</v>
      </c>
      <c r="H481" s="6">
        <v>1</v>
      </c>
      <c r="I481" s="9">
        <v>736</v>
      </c>
    </row>
    <row r="482" spans="1:9" ht="14.25">
      <c r="A482" s="6">
        <v>478</v>
      </c>
      <c r="B482" s="7" t="s">
        <v>110</v>
      </c>
      <c r="C482" s="6" t="s">
        <v>520</v>
      </c>
      <c r="D482" s="7" t="s">
        <v>982</v>
      </c>
      <c r="E482" s="7" t="s">
        <v>522</v>
      </c>
      <c r="F482" s="12">
        <v>44911</v>
      </c>
      <c r="G482" s="9">
        <v>368</v>
      </c>
      <c r="H482" s="6">
        <v>1</v>
      </c>
      <c r="I482" s="9">
        <v>368</v>
      </c>
    </row>
    <row r="483" spans="1:9" ht="14.25">
      <c r="A483" s="6">
        <v>479</v>
      </c>
      <c r="B483" s="7" t="s">
        <v>110</v>
      </c>
      <c r="C483" s="6" t="s">
        <v>520</v>
      </c>
      <c r="D483" s="7" t="s">
        <v>983</v>
      </c>
      <c r="E483" s="7" t="s">
        <v>522</v>
      </c>
      <c r="F483" s="12">
        <v>45421</v>
      </c>
      <c r="G483" s="9">
        <v>2940</v>
      </c>
      <c r="H483" s="6">
        <v>1</v>
      </c>
      <c r="I483" s="9">
        <v>2940</v>
      </c>
    </row>
    <row r="484" spans="1:9" ht="14.25">
      <c r="A484" s="6">
        <v>480</v>
      </c>
      <c r="B484" s="7" t="s">
        <v>110</v>
      </c>
      <c r="C484" s="6" t="s">
        <v>520</v>
      </c>
      <c r="D484" s="7" t="s">
        <v>984</v>
      </c>
      <c r="E484" s="7" t="s">
        <v>522</v>
      </c>
      <c r="F484" s="12">
        <v>45407</v>
      </c>
      <c r="G484" s="9">
        <v>259</v>
      </c>
      <c r="H484" s="6">
        <v>2</v>
      </c>
      <c r="I484" s="9">
        <v>129.5</v>
      </c>
    </row>
    <row r="485" spans="1:9" ht="14.25">
      <c r="A485" s="6">
        <v>481</v>
      </c>
      <c r="B485" s="7" t="s">
        <v>242</v>
      </c>
      <c r="C485" s="6" t="s">
        <v>520</v>
      </c>
      <c r="D485" s="7" t="s">
        <v>985</v>
      </c>
      <c r="E485" s="7" t="s">
        <v>522</v>
      </c>
      <c r="F485" s="12">
        <v>44272</v>
      </c>
      <c r="G485" s="9">
        <v>451</v>
      </c>
      <c r="H485" s="6">
        <v>1</v>
      </c>
      <c r="I485" s="9">
        <v>451</v>
      </c>
    </row>
    <row r="486" spans="1:9" ht="14.25">
      <c r="A486" s="6">
        <v>482</v>
      </c>
      <c r="B486" s="7" t="s">
        <v>242</v>
      </c>
      <c r="C486" s="6" t="s">
        <v>520</v>
      </c>
      <c r="D486" s="7" t="s">
        <v>986</v>
      </c>
      <c r="E486" s="7" t="s">
        <v>522</v>
      </c>
      <c r="F486" s="12">
        <v>45097</v>
      </c>
      <c r="G486" s="9">
        <v>950</v>
      </c>
      <c r="H486" s="6">
        <v>1</v>
      </c>
      <c r="I486" s="9">
        <v>950</v>
      </c>
    </row>
    <row r="487" spans="1:9" ht="14.25">
      <c r="A487" s="6">
        <v>483</v>
      </c>
      <c r="B487" s="7" t="s">
        <v>56</v>
      </c>
      <c r="C487" s="6" t="s">
        <v>520</v>
      </c>
      <c r="D487" s="7" t="s">
        <v>987</v>
      </c>
      <c r="E487" s="7" t="s">
        <v>522</v>
      </c>
      <c r="F487" s="12">
        <v>41626</v>
      </c>
      <c r="G487" s="9">
        <v>2900</v>
      </c>
      <c r="H487" s="6">
        <v>1</v>
      </c>
      <c r="I487" s="9">
        <v>2900</v>
      </c>
    </row>
    <row r="488" spans="1:9" ht="14.25">
      <c r="A488" s="6">
        <v>484</v>
      </c>
      <c r="B488" s="7" t="s">
        <v>56</v>
      </c>
      <c r="C488" s="6" t="s">
        <v>520</v>
      </c>
      <c r="D488" s="7" t="s">
        <v>988</v>
      </c>
      <c r="E488" s="7" t="s">
        <v>522</v>
      </c>
      <c r="F488" s="12">
        <v>44421</v>
      </c>
      <c r="G488" s="9">
        <v>495.5</v>
      </c>
      <c r="H488" s="6">
        <v>1</v>
      </c>
      <c r="I488" s="9">
        <v>495.5</v>
      </c>
    </row>
    <row r="489" spans="1:9" ht="14.25">
      <c r="A489" s="6">
        <v>485</v>
      </c>
      <c r="B489" s="7" t="s">
        <v>56</v>
      </c>
      <c r="C489" s="6" t="s">
        <v>520</v>
      </c>
      <c r="D489" s="7" t="s">
        <v>989</v>
      </c>
      <c r="E489" s="7" t="s">
        <v>522</v>
      </c>
      <c r="F489" s="12">
        <v>44295</v>
      </c>
      <c r="G489" s="9">
        <v>5434.4</v>
      </c>
      <c r="H489" s="6">
        <v>1</v>
      </c>
      <c r="I489" s="9">
        <v>5434.4</v>
      </c>
    </row>
    <row r="490" spans="1:9" ht="14.25">
      <c r="A490" s="6">
        <v>486</v>
      </c>
      <c r="B490" s="7" t="s">
        <v>56</v>
      </c>
      <c r="C490" s="6" t="s">
        <v>520</v>
      </c>
      <c r="D490" s="7" t="s">
        <v>990</v>
      </c>
      <c r="E490" s="7" t="s">
        <v>522</v>
      </c>
      <c r="F490" s="12">
        <v>44510</v>
      </c>
      <c r="G490" s="9">
        <v>369.5</v>
      </c>
      <c r="H490" s="6">
        <v>1</v>
      </c>
      <c r="I490" s="9">
        <v>369.5</v>
      </c>
    </row>
    <row r="491" spans="1:9" ht="14.25">
      <c r="A491" s="6">
        <v>487</v>
      </c>
      <c r="B491" s="7" t="s">
        <v>56</v>
      </c>
      <c r="C491" s="6" t="s">
        <v>520</v>
      </c>
      <c r="D491" s="7" t="s">
        <v>622</v>
      </c>
      <c r="E491" s="7" t="s">
        <v>522</v>
      </c>
      <c r="F491" s="12">
        <v>45057</v>
      </c>
      <c r="G491" s="9">
        <v>2250</v>
      </c>
      <c r="H491" s="6">
        <v>2</v>
      </c>
      <c r="I491" s="9">
        <v>1125</v>
      </c>
    </row>
    <row r="492" spans="1:9" ht="14.25">
      <c r="A492" s="6">
        <v>488</v>
      </c>
      <c r="B492" s="7" t="s">
        <v>56</v>
      </c>
      <c r="C492" s="6" t="s">
        <v>520</v>
      </c>
      <c r="D492" s="7" t="s">
        <v>991</v>
      </c>
      <c r="E492" s="7" t="s">
        <v>522</v>
      </c>
      <c r="F492" s="12">
        <v>45386</v>
      </c>
      <c r="G492" s="9">
        <v>5000</v>
      </c>
      <c r="H492" s="6">
        <v>1</v>
      </c>
      <c r="I492" s="9">
        <v>5000</v>
      </c>
    </row>
    <row r="493" spans="1:9" ht="14.25">
      <c r="A493" s="6">
        <v>489</v>
      </c>
      <c r="B493" s="7" t="s">
        <v>216</v>
      </c>
      <c r="C493" s="6" t="s">
        <v>520</v>
      </c>
      <c r="D493" s="7" t="s">
        <v>992</v>
      </c>
      <c r="E493" s="7" t="s">
        <v>522</v>
      </c>
      <c r="F493" s="12">
        <v>45342</v>
      </c>
      <c r="G493" s="9">
        <v>150</v>
      </c>
      <c r="H493" s="6">
        <v>1</v>
      </c>
      <c r="I493" s="9">
        <v>150</v>
      </c>
    </row>
    <row r="494" spans="1:9" ht="14.25">
      <c r="A494" s="6">
        <v>490</v>
      </c>
      <c r="B494" s="7" t="s">
        <v>216</v>
      </c>
      <c r="C494" s="6" t="s">
        <v>520</v>
      </c>
      <c r="D494" s="7" t="s">
        <v>623</v>
      </c>
      <c r="E494" s="7" t="s">
        <v>522</v>
      </c>
      <c r="F494" s="12">
        <v>45526</v>
      </c>
      <c r="G494" s="9">
        <v>2100</v>
      </c>
      <c r="H494" s="6">
        <v>2</v>
      </c>
      <c r="I494" s="9">
        <v>1050</v>
      </c>
    </row>
    <row r="495" spans="1:9" ht="14.25">
      <c r="A495" s="6">
        <v>491</v>
      </c>
      <c r="B495" s="7" t="s">
        <v>406</v>
      </c>
      <c r="C495" s="6" t="s">
        <v>520</v>
      </c>
      <c r="D495" s="7" t="s">
        <v>993</v>
      </c>
      <c r="E495" s="7" t="s">
        <v>522</v>
      </c>
      <c r="F495" s="12">
        <v>45604</v>
      </c>
      <c r="G495" s="9">
        <v>207</v>
      </c>
      <c r="H495" s="6">
        <v>1</v>
      </c>
      <c r="I495" s="9">
        <v>207</v>
      </c>
    </row>
    <row r="496" spans="1:9" ht="14.25">
      <c r="A496" s="6">
        <v>492</v>
      </c>
      <c r="B496" s="7" t="s">
        <v>443</v>
      </c>
      <c r="C496" s="6" t="s">
        <v>520</v>
      </c>
      <c r="D496" s="7" t="s">
        <v>994</v>
      </c>
      <c r="E496" s="7" t="s">
        <v>522</v>
      </c>
      <c r="F496" s="12">
        <v>45279</v>
      </c>
      <c r="G496" s="9">
        <v>237</v>
      </c>
      <c r="H496" s="6">
        <v>2</v>
      </c>
      <c r="I496" s="9">
        <v>118.5</v>
      </c>
    </row>
    <row r="497" spans="1:9" ht="14.25">
      <c r="A497" s="6">
        <v>493</v>
      </c>
      <c r="B497" s="7" t="s">
        <v>286</v>
      </c>
      <c r="C497" s="6" t="s">
        <v>536</v>
      </c>
      <c r="D497" s="7" t="s">
        <v>995</v>
      </c>
      <c r="E497" s="7" t="s">
        <v>544</v>
      </c>
      <c r="F497" s="12">
        <v>42270</v>
      </c>
      <c r="G497" s="9">
        <v>1400</v>
      </c>
      <c r="H497" s="6">
        <v>2</v>
      </c>
      <c r="I497" s="9">
        <v>700</v>
      </c>
    </row>
    <row r="498" spans="1:9" ht="14.25">
      <c r="A498" s="6">
        <v>494</v>
      </c>
      <c r="B498" s="7" t="s">
        <v>286</v>
      </c>
      <c r="C498" s="6" t="s">
        <v>520</v>
      </c>
      <c r="D498" s="7" t="s">
        <v>996</v>
      </c>
      <c r="E498" s="7" t="s">
        <v>522</v>
      </c>
      <c r="F498" s="12">
        <v>43887</v>
      </c>
      <c r="G498" s="9">
        <v>80</v>
      </c>
      <c r="H498" s="6">
        <v>1</v>
      </c>
      <c r="I498" s="9">
        <v>80</v>
      </c>
    </row>
    <row r="499" spans="1:9" ht="14.25">
      <c r="A499" s="6">
        <v>495</v>
      </c>
      <c r="B499" s="7" t="s">
        <v>286</v>
      </c>
      <c r="C499" s="6" t="s">
        <v>536</v>
      </c>
      <c r="D499" s="7" t="s">
        <v>997</v>
      </c>
      <c r="E499" s="7" t="s">
        <v>544</v>
      </c>
      <c r="F499" s="12">
        <v>44195</v>
      </c>
      <c r="G499" s="9">
        <v>1300</v>
      </c>
      <c r="H499" s="6">
        <v>2</v>
      </c>
      <c r="I499" s="9">
        <v>650</v>
      </c>
    </row>
    <row r="500" spans="1:9" ht="14.25">
      <c r="A500" s="6">
        <v>496</v>
      </c>
      <c r="B500" s="7" t="s">
        <v>286</v>
      </c>
      <c r="C500" s="6" t="s">
        <v>520</v>
      </c>
      <c r="D500" s="7" t="s">
        <v>998</v>
      </c>
      <c r="E500" s="7" t="s">
        <v>522</v>
      </c>
      <c r="F500" s="12">
        <v>44232</v>
      </c>
      <c r="G500" s="9">
        <v>81.599999999999994</v>
      </c>
      <c r="H500" s="6">
        <v>2</v>
      </c>
      <c r="I500" s="9">
        <v>40.799999999999997</v>
      </c>
    </row>
    <row r="501" spans="1:9" ht="14.25">
      <c r="A501" s="6">
        <v>497</v>
      </c>
      <c r="B501" s="7" t="s">
        <v>366</v>
      </c>
      <c r="C501" s="6" t="s">
        <v>520</v>
      </c>
      <c r="D501" s="7" t="s">
        <v>999</v>
      </c>
      <c r="E501" s="7" t="s">
        <v>528</v>
      </c>
      <c r="F501" s="12">
        <v>43766</v>
      </c>
      <c r="G501" s="9">
        <v>31.7</v>
      </c>
      <c r="H501" s="6">
        <v>1</v>
      </c>
      <c r="I501" s="9">
        <v>31.7</v>
      </c>
    </row>
    <row r="502" spans="1:9" ht="14.25">
      <c r="A502" s="6">
        <v>498</v>
      </c>
      <c r="B502" s="7" t="s">
        <v>366</v>
      </c>
      <c r="C502" s="6" t="s">
        <v>520</v>
      </c>
      <c r="D502" s="7" t="s">
        <v>1000</v>
      </c>
      <c r="E502" s="7" t="s">
        <v>522</v>
      </c>
      <c r="F502" s="12">
        <v>44823</v>
      </c>
      <c r="G502" s="9">
        <v>150.5</v>
      </c>
      <c r="H502" s="6">
        <v>1</v>
      </c>
      <c r="I502" s="9">
        <v>150.5</v>
      </c>
    </row>
    <row r="503" spans="1:9" ht="14.25">
      <c r="A503" s="6">
        <v>499</v>
      </c>
      <c r="B503" s="7" t="s">
        <v>366</v>
      </c>
      <c r="C503" s="6" t="s">
        <v>520</v>
      </c>
      <c r="D503" s="7" t="s">
        <v>1001</v>
      </c>
      <c r="E503" s="7" t="s">
        <v>522</v>
      </c>
      <c r="F503" s="12">
        <v>45189</v>
      </c>
      <c r="G503" s="9">
        <v>320</v>
      </c>
      <c r="H503" s="6">
        <v>1</v>
      </c>
      <c r="I503" s="9">
        <v>320</v>
      </c>
    </row>
    <row r="504" spans="1:9" ht="14.25">
      <c r="A504" s="6">
        <v>500</v>
      </c>
      <c r="B504" s="7" t="s">
        <v>366</v>
      </c>
      <c r="C504" s="6" t="s">
        <v>520</v>
      </c>
      <c r="D504" s="7" t="s">
        <v>1002</v>
      </c>
      <c r="E504" s="7" t="s">
        <v>522</v>
      </c>
      <c r="F504" s="12">
        <v>45545</v>
      </c>
      <c r="G504" s="9">
        <v>101</v>
      </c>
      <c r="H504" s="6">
        <v>1</v>
      </c>
      <c r="I504" s="9">
        <v>101</v>
      </c>
    </row>
    <row r="505" spans="1:9" ht="14.25">
      <c r="A505" s="6">
        <v>501</v>
      </c>
      <c r="B505" s="7" t="s">
        <v>509</v>
      </c>
      <c r="C505" s="6" t="s">
        <v>520</v>
      </c>
      <c r="D505" s="7" t="s">
        <v>1003</v>
      </c>
      <c r="E505" s="7" t="s">
        <v>528</v>
      </c>
      <c r="F505" s="12">
        <v>44204</v>
      </c>
      <c r="G505" s="9">
        <v>21</v>
      </c>
      <c r="H505" s="6">
        <v>1</v>
      </c>
      <c r="I505" s="9">
        <v>21</v>
      </c>
    </row>
    <row r="506" spans="1:9" ht="14.25">
      <c r="A506" s="6">
        <v>502</v>
      </c>
      <c r="B506" s="7" t="s">
        <v>126</v>
      </c>
      <c r="C506" s="6" t="s">
        <v>520</v>
      </c>
      <c r="D506" s="7" t="s">
        <v>1004</v>
      </c>
      <c r="E506" s="7" t="s">
        <v>522</v>
      </c>
      <c r="F506" s="12">
        <v>43812</v>
      </c>
      <c r="G506" s="9">
        <v>627</v>
      </c>
      <c r="H506" s="6">
        <v>1</v>
      </c>
      <c r="I506" s="9">
        <v>627</v>
      </c>
    </row>
    <row r="507" spans="1:9" ht="14.25">
      <c r="A507" s="6">
        <v>503</v>
      </c>
      <c r="B507" s="7" t="s">
        <v>126</v>
      </c>
      <c r="C507" s="6" t="s">
        <v>520</v>
      </c>
      <c r="D507" s="7" t="s">
        <v>1005</v>
      </c>
      <c r="E507" s="7" t="s">
        <v>522</v>
      </c>
      <c r="F507" s="12">
        <v>44179</v>
      </c>
      <c r="G507" s="9">
        <v>2400</v>
      </c>
      <c r="H507" s="6">
        <v>1</v>
      </c>
      <c r="I507" s="9">
        <v>2400</v>
      </c>
    </row>
    <row r="508" spans="1:9" ht="14.25">
      <c r="A508" s="6">
        <v>504</v>
      </c>
      <c r="B508" s="7" t="s">
        <v>126</v>
      </c>
      <c r="C508" s="6" t="s">
        <v>520</v>
      </c>
      <c r="D508" s="7" t="s">
        <v>1006</v>
      </c>
      <c r="E508" s="7" t="s">
        <v>522</v>
      </c>
      <c r="F508" s="12">
        <v>45253</v>
      </c>
      <c r="G508" s="9">
        <v>2362</v>
      </c>
      <c r="H508" s="6">
        <v>1</v>
      </c>
      <c r="I508" s="9">
        <v>2362</v>
      </c>
    </row>
    <row r="509" spans="1:9" ht="14.25">
      <c r="A509" s="6">
        <v>505</v>
      </c>
      <c r="B509" s="7" t="s">
        <v>112</v>
      </c>
      <c r="C509" s="6" t="s">
        <v>520</v>
      </c>
      <c r="D509" s="7" t="s">
        <v>1007</v>
      </c>
      <c r="E509" s="7" t="s">
        <v>522</v>
      </c>
      <c r="F509" s="12">
        <v>44160</v>
      </c>
      <c r="G509" s="9">
        <v>197</v>
      </c>
      <c r="H509" s="6">
        <v>1</v>
      </c>
      <c r="I509" s="9">
        <v>197</v>
      </c>
    </row>
    <row r="510" spans="1:9" ht="14.25">
      <c r="A510" s="6">
        <v>506</v>
      </c>
      <c r="B510" s="7" t="s">
        <v>112</v>
      </c>
      <c r="C510" s="6" t="s">
        <v>520</v>
      </c>
      <c r="D510" s="7" t="s">
        <v>1008</v>
      </c>
      <c r="E510" s="7" t="s">
        <v>522</v>
      </c>
      <c r="F510" s="12">
        <v>44452</v>
      </c>
      <c r="G510" s="9">
        <v>882</v>
      </c>
      <c r="H510" s="6">
        <v>1</v>
      </c>
      <c r="I510" s="9">
        <v>882</v>
      </c>
    </row>
    <row r="511" spans="1:9" ht="14.25">
      <c r="A511" s="6">
        <v>507</v>
      </c>
      <c r="B511" s="7" t="s">
        <v>112</v>
      </c>
      <c r="C511" s="6" t="s">
        <v>520</v>
      </c>
      <c r="D511" s="7" t="s">
        <v>1009</v>
      </c>
      <c r="E511" s="7" t="s">
        <v>522</v>
      </c>
      <c r="F511" s="12">
        <v>44463</v>
      </c>
      <c r="G511" s="9">
        <v>390</v>
      </c>
      <c r="H511" s="6">
        <v>1</v>
      </c>
      <c r="I511" s="9">
        <v>390</v>
      </c>
    </row>
    <row r="512" spans="1:9" ht="14.25">
      <c r="A512" s="6">
        <v>508</v>
      </c>
      <c r="B512" s="7" t="s">
        <v>112</v>
      </c>
      <c r="C512" s="6" t="s">
        <v>520</v>
      </c>
      <c r="D512" s="7" t="s">
        <v>1010</v>
      </c>
      <c r="E512" s="7" t="s">
        <v>522</v>
      </c>
      <c r="F512" s="12">
        <v>44251</v>
      </c>
      <c r="G512" s="9">
        <v>2896</v>
      </c>
      <c r="H512" s="6">
        <v>1</v>
      </c>
      <c r="I512" s="9">
        <v>2896</v>
      </c>
    </row>
    <row r="513" spans="1:9" ht="14.25">
      <c r="A513" s="6">
        <v>509</v>
      </c>
      <c r="B513" s="7" t="s">
        <v>112</v>
      </c>
      <c r="C513" s="6" t="s">
        <v>520</v>
      </c>
      <c r="D513" s="7" t="s">
        <v>1011</v>
      </c>
      <c r="E513" s="7" t="s">
        <v>522</v>
      </c>
      <c r="F513" s="12">
        <v>45516</v>
      </c>
      <c r="G513" s="9">
        <v>1911</v>
      </c>
      <c r="H513" s="6">
        <v>1</v>
      </c>
      <c r="I513" s="9">
        <v>1911</v>
      </c>
    </row>
    <row r="514" spans="1:9" ht="14.25">
      <c r="A514" s="6">
        <v>510</v>
      </c>
      <c r="B514" s="7" t="s">
        <v>207</v>
      </c>
      <c r="C514" s="6" t="s">
        <v>520</v>
      </c>
      <c r="D514" s="7" t="s">
        <v>1012</v>
      </c>
      <c r="E514" s="7" t="s">
        <v>522</v>
      </c>
      <c r="F514" s="12">
        <v>43615</v>
      </c>
      <c r="G514" s="9">
        <v>1108</v>
      </c>
      <c r="H514" s="6">
        <v>1</v>
      </c>
      <c r="I514" s="9">
        <v>1108</v>
      </c>
    </row>
    <row r="515" spans="1:9" ht="14.25">
      <c r="A515" s="6">
        <v>511</v>
      </c>
      <c r="B515" s="7" t="s">
        <v>207</v>
      </c>
      <c r="C515" s="6" t="s">
        <v>520</v>
      </c>
      <c r="D515" s="7" t="s">
        <v>1013</v>
      </c>
      <c r="E515" s="7" t="s">
        <v>522</v>
      </c>
      <c r="F515" s="12">
        <v>45355</v>
      </c>
      <c r="G515" s="9">
        <v>1841</v>
      </c>
      <c r="H515" s="6">
        <v>2</v>
      </c>
      <c r="I515" s="9">
        <v>920.5</v>
      </c>
    </row>
    <row r="516" spans="1:9" ht="14.25">
      <c r="A516" s="6">
        <v>512</v>
      </c>
      <c r="B516" s="7" t="s">
        <v>157</v>
      </c>
      <c r="C516" s="6" t="s">
        <v>520</v>
      </c>
      <c r="D516" s="7" t="s">
        <v>1014</v>
      </c>
      <c r="E516" s="7" t="s">
        <v>522</v>
      </c>
      <c r="F516" s="12">
        <v>44938</v>
      </c>
      <c r="G516" s="9">
        <v>1780</v>
      </c>
      <c r="H516" s="6">
        <v>1</v>
      </c>
      <c r="I516" s="9">
        <v>1780</v>
      </c>
    </row>
    <row r="517" spans="1:9" ht="14.25">
      <c r="A517" s="6">
        <v>513</v>
      </c>
      <c r="B517" s="7" t="s">
        <v>106</v>
      </c>
      <c r="C517" s="6" t="s">
        <v>520</v>
      </c>
      <c r="D517" s="7" t="s">
        <v>1015</v>
      </c>
      <c r="E517" s="7" t="s">
        <v>522</v>
      </c>
      <c r="F517" s="12">
        <v>45537</v>
      </c>
      <c r="G517" s="9">
        <v>2987.4</v>
      </c>
      <c r="H517" s="6">
        <v>1</v>
      </c>
      <c r="I517" s="9">
        <v>2987.4</v>
      </c>
    </row>
    <row r="518" spans="1:9" ht="14.25">
      <c r="A518" s="6">
        <v>514</v>
      </c>
      <c r="B518" s="7" t="s">
        <v>481</v>
      </c>
      <c r="C518" s="6" t="s">
        <v>520</v>
      </c>
      <c r="D518" s="7" t="s">
        <v>1016</v>
      </c>
      <c r="E518" s="7" t="s">
        <v>522</v>
      </c>
      <c r="F518" s="12">
        <v>44890</v>
      </c>
      <c r="G518" s="9">
        <v>30.6</v>
      </c>
      <c r="H518" s="6">
        <v>1</v>
      </c>
      <c r="I518" s="9">
        <v>30.6</v>
      </c>
    </row>
    <row r="519" spans="1:9" ht="14.25">
      <c r="A519" s="6">
        <v>515</v>
      </c>
      <c r="B519" s="7" t="s">
        <v>481</v>
      </c>
      <c r="C519" s="6" t="s">
        <v>520</v>
      </c>
      <c r="D519" s="7" t="s">
        <v>1017</v>
      </c>
      <c r="E519" s="7" t="s">
        <v>522</v>
      </c>
      <c r="F519" s="12">
        <v>45107</v>
      </c>
      <c r="G519" s="9">
        <v>127</v>
      </c>
      <c r="H519" s="6">
        <v>2</v>
      </c>
      <c r="I519" s="9">
        <v>63.5</v>
      </c>
    </row>
    <row r="520" spans="1:9" ht="14.25">
      <c r="A520" s="6">
        <v>516</v>
      </c>
      <c r="B520" s="7" t="s">
        <v>487</v>
      </c>
      <c r="C520" s="6" t="s">
        <v>536</v>
      </c>
      <c r="D520" s="7" t="s">
        <v>1018</v>
      </c>
      <c r="E520" s="7" t="s">
        <v>522</v>
      </c>
      <c r="F520" s="12">
        <v>44383</v>
      </c>
      <c r="G520" s="9">
        <v>113</v>
      </c>
      <c r="H520" s="6">
        <v>2</v>
      </c>
      <c r="I520" s="9">
        <v>56.5</v>
      </c>
    </row>
    <row r="521" spans="1:9" ht="14.25">
      <c r="A521" s="6">
        <v>517</v>
      </c>
      <c r="B521" s="7" t="s">
        <v>42</v>
      </c>
      <c r="C521" s="6" t="s">
        <v>520</v>
      </c>
      <c r="D521" s="7" t="s">
        <v>1019</v>
      </c>
      <c r="E521" s="7" t="s">
        <v>522</v>
      </c>
      <c r="F521" s="12">
        <v>43563</v>
      </c>
      <c r="G521" s="9">
        <v>7206.5</v>
      </c>
      <c r="H521" s="6">
        <v>1</v>
      </c>
      <c r="I521" s="9">
        <v>7206.5</v>
      </c>
    </row>
    <row r="522" spans="1:9" ht="14.25">
      <c r="A522" s="6">
        <v>518</v>
      </c>
      <c r="B522" s="7" t="s">
        <v>42</v>
      </c>
      <c r="C522" s="6" t="s">
        <v>520</v>
      </c>
      <c r="D522" s="7" t="s">
        <v>1020</v>
      </c>
      <c r="E522" s="7" t="s">
        <v>522</v>
      </c>
      <c r="F522" s="12">
        <v>44482</v>
      </c>
      <c r="G522" s="9">
        <v>2098.1999999999998</v>
      </c>
      <c r="H522" s="6">
        <v>1</v>
      </c>
      <c r="I522" s="9">
        <v>2098.1999999999998</v>
      </c>
    </row>
    <row r="523" spans="1:9" ht="14.25">
      <c r="A523" s="6">
        <v>519</v>
      </c>
      <c r="B523" s="7" t="s">
        <v>42</v>
      </c>
      <c r="C523" s="6" t="s">
        <v>520</v>
      </c>
      <c r="D523" s="7" t="s">
        <v>1021</v>
      </c>
      <c r="E523" s="7" t="s">
        <v>522</v>
      </c>
      <c r="F523" s="12">
        <v>45217</v>
      </c>
      <c r="G523" s="9">
        <v>2755.6</v>
      </c>
      <c r="H523" s="6">
        <v>1</v>
      </c>
      <c r="I523" s="9">
        <v>2755.6</v>
      </c>
    </row>
    <row r="524" spans="1:9" ht="14.25">
      <c r="A524" s="6">
        <v>520</v>
      </c>
      <c r="B524" s="7" t="s">
        <v>102</v>
      </c>
      <c r="C524" s="6" t="s">
        <v>520</v>
      </c>
      <c r="D524" s="7" t="s">
        <v>1022</v>
      </c>
      <c r="E524" s="7" t="s">
        <v>522</v>
      </c>
      <c r="F524" s="12">
        <v>42912</v>
      </c>
      <c r="G524" s="9">
        <v>3000</v>
      </c>
      <c r="H524" s="6">
        <v>1</v>
      </c>
      <c r="I524" s="9">
        <v>3000</v>
      </c>
    </row>
    <row r="525" spans="1:9" ht="14.25">
      <c r="A525" s="6">
        <v>521</v>
      </c>
      <c r="B525" s="7" t="s">
        <v>102</v>
      </c>
      <c r="C525" s="6" t="s">
        <v>520</v>
      </c>
      <c r="D525" s="7" t="s">
        <v>1023</v>
      </c>
      <c r="E525" s="7" t="s">
        <v>522</v>
      </c>
      <c r="F525" s="12">
        <v>43844</v>
      </c>
      <c r="G525" s="9">
        <v>2310</v>
      </c>
      <c r="H525" s="6">
        <v>1</v>
      </c>
      <c r="I525" s="9">
        <v>2310</v>
      </c>
    </row>
    <row r="526" spans="1:9" ht="14.25">
      <c r="A526" s="6">
        <v>522</v>
      </c>
      <c r="B526" s="7" t="s">
        <v>102</v>
      </c>
      <c r="C526" s="6" t="s">
        <v>520</v>
      </c>
      <c r="D526" s="7" t="s">
        <v>1024</v>
      </c>
      <c r="E526" s="7" t="s">
        <v>522</v>
      </c>
      <c r="F526" s="12">
        <v>43844</v>
      </c>
      <c r="G526" s="9">
        <v>2613</v>
      </c>
      <c r="H526" s="6">
        <v>1</v>
      </c>
      <c r="I526" s="9">
        <v>2613</v>
      </c>
    </row>
    <row r="527" spans="1:9" ht="14.25">
      <c r="A527" s="6">
        <v>523</v>
      </c>
      <c r="B527" s="7" t="s">
        <v>102</v>
      </c>
      <c r="C527" s="6" t="s">
        <v>536</v>
      </c>
      <c r="D527" s="7" t="s">
        <v>1025</v>
      </c>
      <c r="E527" s="7" t="s">
        <v>544</v>
      </c>
      <c r="F527" s="12">
        <v>44195</v>
      </c>
      <c r="G527" s="9">
        <v>2555</v>
      </c>
      <c r="H527" s="6">
        <v>2</v>
      </c>
      <c r="I527" s="9">
        <v>1277.5</v>
      </c>
    </row>
    <row r="528" spans="1:9" ht="14.25">
      <c r="A528" s="6">
        <v>524</v>
      </c>
      <c r="B528" s="7" t="s">
        <v>102</v>
      </c>
      <c r="C528" s="6" t="s">
        <v>520</v>
      </c>
      <c r="D528" s="7" t="s">
        <v>1026</v>
      </c>
      <c r="E528" s="7" t="s">
        <v>522</v>
      </c>
      <c r="F528" s="12">
        <v>44914</v>
      </c>
      <c r="G528" s="9">
        <v>2681</v>
      </c>
      <c r="H528" s="6">
        <v>1</v>
      </c>
      <c r="I528" s="9">
        <v>2681</v>
      </c>
    </row>
    <row r="529" spans="1:9" ht="14.25">
      <c r="A529" s="6">
        <v>525</v>
      </c>
      <c r="B529" s="7" t="s">
        <v>102</v>
      </c>
      <c r="C529" s="6" t="s">
        <v>520</v>
      </c>
      <c r="D529" s="7" t="s">
        <v>1027</v>
      </c>
      <c r="E529" s="7" t="s">
        <v>522</v>
      </c>
      <c r="F529" s="12">
        <v>44914</v>
      </c>
      <c r="G529" s="9">
        <v>1819</v>
      </c>
      <c r="H529" s="6">
        <v>1</v>
      </c>
      <c r="I529" s="9">
        <v>1819</v>
      </c>
    </row>
    <row r="530" spans="1:9" ht="14.25">
      <c r="A530" s="6">
        <v>526</v>
      </c>
      <c r="B530" s="7" t="s">
        <v>102</v>
      </c>
      <c r="C530" s="6" t="s">
        <v>536</v>
      </c>
      <c r="D530" s="7" t="s">
        <v>1028</v>
      </c>
      <c r="E530" s="7" t="s">
        <v>544</v>
      </c>
      <c r="F530" s="12">
        <v>44802</v>
      </c>
      <c r="G530" s="9">
        <v>390</v>
      </c>
      <c r="H530" s="6">
        <v>2</v>
      </c>
      <c r="I530" s="9">
        <v>195</v>
      </c>
    </row>
    <row r="531" spans="1:9" ht="14.25">
      <c r="A531" s="6">
        <v>527</v>
      </c>
      <c r="B531" s="7" t="s">
        <v>102</v>
      </c>
      <c r="C531" s="6" t="s">
        <v>520</v>
      </c>
      <c r="D531" s="7" t="s">
        <v>1029</v>
      </c>
      <c r="E531" s="7" t="s">
        <v>522</v>
      </c>
      <c r="F531" s="12">
        <v>44981</v>
      </c>
      <c r="G531" s="9">
        <v>202</v>
      </c>
      <c r="H531" s="6">
        <v>1</v>
      </c>
      <c r="I531" s="9">
        <v>202</v>
      </c>
    </row>
    <row r="532" spans="1:9" ht="14.25">
      <c r="A532" s="6">
        <v>528</v>
      </c>
      <c r="B532" s="7" t="s">
        <v>102</v>
      </c>
      <c r="C532" s="6" t="s">
        <v>520</v>
      </c>
      <c r="D532" s="7" t="s">
        <v>1030</v>
      </c>
      <c r="E532" s="7" t="s">
        <v>544</v>
      </c>
      <c r="F532" s="12">
        <v>45287</v>
      </c>
      <c r="G532" s="9">
        <v>1604</v>
      </c>
      <c r="H532" s="6">
        <v>1</v>
      </c>
      <c r="I532" s="9">
        <v>1604</v>
      </c>
    </row>
    <row r="533" spans="1:9" ht="14.25">
      <c r="A533" s="6">
        <v>529</v>
      </c>
      <c r="B533" s="7" t="s">
        <v>102</v>
      </c>
      <c r="C533" s="6" t="s">
        <v>520</v>
      </c>
      <c r="D533" s="7" t="s">
        <v>1031</v>
      </c>
      <c r="E533" s="7" t="s">
        <v>522</v>
      </c>
      <c r="F533" s="12">
        <v>45380</v>
      </c>
      <c r="G533" s="9">
        <v>515</v>
      </c>
      <c r="H533" s="6">
        <v>1</v>
      </c>
      <c r="I533" s="9">
        <v>515</v>
      </c>
    </row>
    <row r="534" spans="1:9" ht="14.25">
      <c r="A534" s="6">
        <v>530</v>
      </c>
      <c r="B534" s="7" t="s">
        <v>102</v>
      </c>
      <c r="C534" s="6" t="s">
        <v>520</v>
      </c>
      <c r="D534" s="7" t="s">
        <v>1032</v>
      </c>
      <c r="E534" s="7" t="s">
        <v>544</v>
      </c>
      <c r="F534" s="12">
        <v>45596</v>
      </c>
      <c r="G534" s="9">
        <v>510</v>
      </c>
      <c r="H534" s="6">
        <v>1</v>
      </c>
      <c r="I534" s="9">
        <v>510</v>
      </c>
    </row>
    <row r="535" spans="1:9" ht="14.25">
      <c r="A535" s="6">
        <v>531</v>
      </c>
      <c r="B535" s="7" t="s">
        <v>219</v>
      </c>
      <c r="C535" s="6" t="s">
        <v>536</v>
      </c>
      <c r="D535" s="7" t="s">
        <v>1033</v>
      </c>
      <c r="E535" s="7" t="s">
        <v>522</v>
      </c>
      <c r="F535" s="12">
        <v>43573</v>
      </c>
      <c r="G535" s="9">
        <v>355</v>
      </c>
      <c r="H535" s="6">
        <v>2</v>
      </c>
      <c r="I535" s="9">
        <v>177.5</v>
      </c>
    </row>
    <row r="536" spans="1:9" ht="14.25">
      <c r="A536" s="6">
        <v>532</v>
      </c>
      <c r="B536" s="7" t="s">
        <v>219</v>
      </c>
      <c r="C536" s="6" t="s">
        <v>536</v>
      </c>
      <c r="D536" s="7" t="s">
        <v>881</v>
      </c>
      <c r="E536" s="7" t="s">
        <v>544</v>
      </c>
      <c r="F536" s="12">
        <v>44193</v>
      </c>
      <c r="G536" s="9">
        <v>1042.2</v>
      </c>
      <c r="H536" s="6">
        <v>2</v>
      </c>
      <c r="I536" s="9">
        <v>521.1</v>
      </c>
    </row>
    <row r="537" spans="1:9" ht="14.25">
      <c r="A537" s="6">
        <v>533</v>
      </c>
      <c r="B537" s="7" t="s">
        <v>219</v>
      </c>
      <c r="C537" s="6" t="s">
        <v>520</v>
      </c>
      <c r="D537" s="7" t="s">
        <v>1034</v>
      </c>
      <c r="E537" s="7" t="s">
        <v>522</v>
      </c>
      <c r="F537" s="12">
        <v>45063</v>
      </c>
      <c r="G537" s="9">
        <v>2077</v>
      </c>
      <c r="H537" s="6">
        <v>2</v>
      </c>
      <c r="I537" s="9">
        <v>1038.5</v>
      </c>
    </row>
    <row r="538" spans="1:9" ht="14.25">
      <c r="A538" s="6">
        <v>534</v>
      </c>
      <c r="B538" s="7" t="s">
        <v>219</v>
      </c>
      <c r="C538" s="6" t="s">
        <v>520</v>
      </c>
      <c r="D538" s="7" t="s">
        <v>1035</v>
      </c>
      <c r="E538" s="7" t="s">
        <v>522</v>
      </c>
      <c r="F538" s="12">
        <v>45412</v>
      </c>
      <c r="G538" s="9">
        <v>501</v>
      </c>
      <c r="H538" s="6">
        <v>1</v>
      </c>
      <c r="I538" s="9">
        <v>501</v>
      </c>
    </row>
    <row r="539" spans="1:9" ht="14.25">
      <c r="A539" s="6">
        <v>535</v>
      </c>
      <c r="B539" s="7" t="s">
        <v>86</v>
      </c>
      <c r="C539" s="6" t="s">
        <v>536</v>
      </c>
      <c r="D539" s="7" t="s">
        <v>1036</v>
      </c>
      <c r="E539" s="7" t="s">
        <v>522</v>
      </c>
      <c r="F539" s="12">
        <v>42992</v>
      </c>
      <c r="G539" s="9">
        <v>2500</v>
      </c>
      <c r="H539" s="6">
        <v>2</v>
      </c>
      <c r="I539" s="9">
        <v>1250</v>
      </c>
    </row>
    <row r="540" spans="1:9" ht="14.25">
      <c r="A540" s="6">
        <v>536</v>
      </c>
      <c r="B540" s="7" t="s">
        <v>86</v>
      </c>
      <c r="C540" s="6" t="s">
        <v>536</v>
      </c>
      <c r="D540" s="7" t="s">
        <v>724</v>
      </c>
      <c r="E540" s="7" t="s">
        <v>544</v>
      </c>
      <c r="F540" s="12">
        <v>43767</v>
      </c>
      <c r="G540" s="9">
        <v>2070</v>
      </c>
      <c r="H540" s="6">
        <v>2</v>
      </c>
      <c r="I540" s="9">
        <v>1035</v>
      </c>
    </row>
    <row r="541" spans="1:9" ht="14.25">
      <c r="A541" s="6">
        <v>537</v>
      </c>
      <c r="B541" s="7" t="s">
        <v>86</v>
      </c>
      <c r="C541" s="6" t="s">
        <v>520</v>
      </c>
      <c r="D541" s="7" t="s">
        <v>846</v>
      </c>
      <c r="E541" s="7" t="s">
        <v>522</v>
      </c>
      <c r="F541" s="12">
        <v>43804</v>
      </c>
      <c r="G541" s="9">
        <v>7350</v>
      </c>
      <c r="H541" s="6">
        <v>2</v>
      </c>
      <c r="I541" s="9">
        <v>3675</v>
      </c>
    </row>
    <row r="542" spans="1:9" ht="14.25">
      <c r="A542" s="6">
        <v>538</v>
      </c>
      <c r="B542" s="7" t="s">
        <v>86</v>
      </c>
      <c r="C542" s="6" t="s">
        <v>520</v>
      </c>
      <c r="D542" s="7" t="s">
        <v>1033</v>
      </c>
      <c r="E542" s="7" t="s">
        <v>522</v>
      </c>
      <c r="F542" s="12">
        <v>43573</v>
      </c>
      <c r="G542" s="9">
        <v>355</v>
      </c>
      <c r="H542" s="6">
        <v>2</v>
      </c>
      <c r="I542" s="9">
        <v>177.5</v>
      </c>
    </row>
    <row r="543" spans="1:9" ht="14.25">
      <c r="A543" s="6">
        <v>539</v>
      </c>
      <c r="B543" s="7" t="s">
        <v>86</v>
      </c>
      <c r="C543" s="6" t="s">
        <v>536</v>
      </c>
      <c r="D543" s="7" t="s">
        <v>605</v>
      </c>
      <c r="E543" s="7" t="s">
        <v>522</v>
      </c>
      <c r="F543" s="12">
        <v>43861</v>
      </c>
      <c r="G543" s="9">
        <v>2385</v>
      </c>
      <c r="H543" s="6">
        <v>2</v>
      </c>
      <c r="I543" s="9">
        <v>1192.5</v>
      </c>
    </row>
    <row r="544" spans="1:9" ht="14.25">
      <c r="A544" s="6">
        <v>540</v>
      </c>
      <c r="B544" s="7" t="s">
        <v>86</v>
      </c>
      <c r="C544" s="6" t="s">
        <v>520</v>
      </c>
      <c r="D544" s="7" t="s">
        <v>1037</v>
      </c>
      <c r="E544" s="7" t="s">
        <v>522</v>
      </c>
      <c r="F544" s="12">
        <v>44050</v>
      </c>
      <c r="G544" s="9">
        <v>1304</v>
      </c>
      <c r="H544" s="6">
        <v>2</v>
      </c>
      <c r="I544" s="9">
        <v>652</v>
      </c>
    </row>
    <row r="545" spans="1:9" ht="14.25">
      <c r="A545" s="6">
        <v>541</v>
      </c>
      <c r="B545" s="7" t="s">
        <v>86</v>
      </c>
      <c r="C545" s="6" t="s">
        <v>520</v>
      </c>
      <c r="D545" s="7" t="s">
        <v>1038</v>
      </c>
      <c r="E545" s="7" t="s">
        <v>522</v>
      </c>
      <c r="F545" s="12">
        <v>44440</v>
      </c>
      <c r="G545" s="9">
        <v>3200</v>
      </c>
      <c r="H545" s="6">
        <v>1</v>
      </c>
      <c r="I545" s="9">
        <v>3200</v>
      </c>
    </row>
    <row r="546" spans="1:9" ht="14.25">
      <c r="A546" s="6">
        <v>542</v>
      </c>
      <c r="B546" s="7" t="s">
        <v>86</v>
      </c>
      <c r="C546" s="6" t="s">
        <v>520</v>
      </c>
      <c r="D546" s="7" t="s">
        <v>1039</v>
      </c>
      <c r="E546" s="7" t="s">
        <v>522</v>
      </c>
      <c r="F546" s="12">
        <v>44378</v>
      </c>
      <c r="G546" s="9">
        <v>975</v>
      </c>
      <c r="H546" s="6">
        <v>1</v>
      </c>
      <c r="I546" s="9">
        <v>975</v>
      </c>
    </row>
    <row r="547" spans="1:9" ht="14.25">
      <c r="A547" s="6">
        <v>543</v>
      </c>
      <c r="B547" s="7" t="s">
        <v>86</v>
      </c>
      <c r="C547" s="6" t="s">
        <v>520</v>
      </c>
      <c r="D547" s="7" t="s">
        <v>1040</v>
      </c>
      <c r="E547" s="7" t="s">
        <v>522</v>
      </c>
      <c r="F547" s="12">
        <v>44974</v>
      </c>
      <c r="G547" s="9">
        <v>2030</v>
      </c>
      <c r="H547" s="6">
        <v>1</v>
      </c>
      <c r="I547" s="9">
        <v>2030</v>
      </c>
    </row>
    <row r="548" spans="1:9" ht="14.25">
      <c r="A548" s="6">
        <v>544</v>
      </c>
      <c r="B548" s="7" t="s">
        <v>86</v>
      </c>
      <c r="C548" s="6" t="s">
        <v>520</v>
      </c>
      <c r="D548" s="7" t="s">
        <v>1041</v>
      </c>
      <c r="E548" s="7" t="s">
        <v>522</v>
      </c>
      <c r="F548" s="12">
        <v>45573</v>
      </c>
      <c r="G548" s="9">
        <v>902</v>
      </c>
      <c r="H548" s="6">
        <v>1</v>
      </c>
      <c r="I548" s="9">
        <v>902</v>
      </c>
    </row>
    <row r="549" spans="1:9" ht="14.25">
      <c r="A549" s="6">
        <v>545</v>
      </c>
      <c r="B549" s="7" t="s">
        <v>86</v>
      </c>
      <c r="C549" s="6" t="s">
        <v>520</v>
      </c>
      <c r="D549" s="7" t="s">
        <v>1042</v>
      </c>
      <c r="E549" s="7" t="s">
        <v>522</v>
      </c>
      <c r="F549" s="12">
        <v>45540</v>
      </c>
      <c r="G549" s="9">
        <v>920</v>
      </c>
      <c r="H549" s="6">
        <v>1</v>
      </c>
      <c r="I549" s="9">
        <v>920</v>
      </c>
    </row>
    <row r="550" spans="1:9" ht="14.25">
      <c r="A550" s="6">
        <v>546</v>
      </c>
      <c r="B550" s="7" t="s">
        <v>86</v>
      </c>
      <c r="C550" s="6" t="s">
        <v>520</v>
      </c>
      <c r="D550" s="7" t="s">
        <v>811</v>
      </c>
      <c r="E550" s="7" t="s">
        <v>522</v>
      </c>
      <c r="F550" s="12">
        <v>45632</v>
      </c>
      <c r="G550" s="9">
        <v>1106</v>
      </c>
      <c r="H550" s="6">
        <v>2</v>
      </c>
      <c r="I550" s="9">
        <v>553</v>
      </c>
    </row>
    <row r="551" spans="1:9" ht="14.25">
      <c r="A551" s="6">
        <v>547</v>
      </c>
      <c r="B551" s="7" t="s">
        <v>120</v>
      </c>
      <c r="C551" s="6" t="s">
        <v>520</v>
      </c>
      <c r="D551" s="7" t="s">
        <v>1043</v>
      </c>
      <c r="E551" s="7" t="s">
        <v>522</v>
      </c>
      <c r="F551" s="12">
        <v>44148</v>
      </c>
      <c r="G551" s="9">
        <v>2510</v>
      </c>
      <c r="H551" s="6">
        <v>1</v>
      </c>
      <c r="I551" s="9">
        <v>2510</v>
      </c>
    </row>
    <row r="552" spans="1:9" ht="14.25">
      <c r="A552" s="6">
        <v>548</v>
      </c>
      <c r="B552" s="7" t="s">
        <v>120</v>
      </c>
      <c r="C552" s="6" t="s">
        <v>520</v>
      </c>
      <c r="D552" s="7" t="s">
        <v>1044</v>
      </c>
      <c r="E552" s="7" t="s">
        <v>522</v>
      </c>
      <c r="F552" s="12">
        <v>44516</v>
      </c>
      <c r="G552" s="9">
        <v>1230</v>
      </c>
      <c r="H552" s="6">
        <v>1</v>
      </c>
      <c r="I552" s="9">
        <v>1230</v>
      </c>
    </row>
    <row r="553" spans="1:9" ht="14.25">
      <c r="A553" s="6">
        <v>549</v>
      </c>
      <c r="B553" s="7" t="s">
        <v>120</v>
      </c>
      <c r="C553" s="6" t="s">
        <v>520</v>
      </c>
      <c r="D553" s="7" t="s">
        <v>804</v>
      </c>
      <c r="E553" s="7" t="s">
        <v>522</v>
      </c>
      <c r="F553" s="12">
        <v>44643</v>
      </c>
      <c r="G553" s="9">
        <v>155</v>
      </c>
      <c r="H553" s="6">
        <v>2</v>
      </c>
      <c r="I553" s="9">
        <v>77.5</v>
      </c>
    </row>
    <row r="554" spans="1:9" ht="14.25">
      <c r="A554" s="6">
        <v>550</v>
      </c>
      <c r="B554" s="7" t="s">
        <v>120</v>
      </c>
      <c r="C554" s="6" t="s">
        <v>520</v>
      </c>
      <c r="D554" s="7" t="s">
        <v>1045</v>
      </c>
      <c r="E554" s="7" t="s">
        <v>522</v>
      </c>
      <c r="F554" s="12">
        <v>44902</v>
      </c>
      <c r="G554" s="9">
        <v>901</v>
      </c>
      <c r="H554" s="6">
        <v>1</v>
      </c>
      <c r="I554" s="9">
        <v>901</v>
      </c>
    </row>
    <row r="555" spans="1:9" ht="14.25">
      <c r="A555" s="6">
        <v>551</v>
      </c>
      <c r="B555" s="7" t="s">
        <v>340</v>
      </c>
      <c r="C555" s="6" t="s">
        <v>520</v>
      </c>
      <c r="D555" s="7" t="s">
        <v>1046</v>
      </c>
      <c r="E555" s="7" t="s">
        <v>544</v>
      </c>
      <c r="F555" s="12">
        <v>44455</v>
      </c>
      <c r="G555" s="9">
        <v>63</v>
      </c>
      <c r="H555" s="6">
        <v>1</v>
      </c>
      <c r="I555" s="9">
        <v>63</v>
      </c>
    </row>
    <row r="556" spans="1:9" ht="14.25">
      <c r="A556" s="6">
        <v>552</v>
      </c>
      <c r="B556" s="7" t="s">
        <v>340</v>
      </c>
      <c r="C556" s="6" t="s">
        <v>536</v>
      </c>
      <c r="D556" s="7" t="s">
        <v>806</v>
      </c>
      <c r="E556" s="7" t="s">
        <v>522</v>
      </c>
      <c r="F556" s="12">
        <v>44235</v>
      </c>
      <c r="G556" s="9">
        <v>1000</v>
      </c>
      <c r="H556" s="6">
        <v>2</v>
      </c>
      <c r="I556" s="9">
        <v>500</v>
      </c>
    </row>
    <row r="557" spans="1:9" ht="14.25">
      <c r="A557" s="6">
        <v>553</v>
      </c>
      <c r="B557" s="7" t="s">
        <v>340</v>
      </c>
      <c r="C557" s="6" t="s">
        <v>520</v>
      </c>
      <c r="D557" s="7" t="s">
        <v>1047</v>
      </c>
      <c r="E557" s="7" t="s">
        <v>522</v>
      </c>
      <c r="F557" s="12">
        <v>44762</v>
      </c>
      <c r="G557" s="9">
        <v>76</v>
      </c>
      <c r="H557" s="6">
        <v>1</v>
      </c>
      <c r="I557" s="9">
        <v>76</v>
      </c>
    </row>
    <row r="558" spans="1:9" ht="14.25">
      <c r="A558" s="6">
        <v>554</v>
      </c>
      <c r="B558" s="7" t="s">
        <v>340</v>
      </c>
      <c r="C558" s="6" t="s">
        <v>520</v>
      </c>
      <c r="D558" s="7" t="s">
        <v>1048</v>
      </c>
      <c r="E558" s="7" t="s">
        <v>522</v>
      </c>
      <c r="F558" s="12">
        <v>45497</v>
      </c>
      <c r="G558" s="9">
        <v>320</v>
      </c>
      <c r="H558" s="6">
        <v>1</v>
      </c>
      <c r="I558" s="9">
        <v>320</v>
      </c>
    </row>
    <row r="559" spans="1:9" ht="14.25">
      <c r="A559" s="6">
        <v>555</v>
      </c>
      <c r="B559" s="7" t="s">
        <v>340</v>
      </c>
      <c r="C559" s="6" t="s">
        <v>520</v>
      </c>
      <c r="D559" s="7" t="s">
        <v>1049</v>
      </c>
      <c r="E559" s="7" t="s">
        <v>522</v>
      </c>
      <c r="F559" s="12">
        <v>45561</v>
      </c>
      <c r="G559" s="9">
        <v>164</v>
      </c>
      <c r="H559" s="6">
        <v>1</v>
      </c>
      <c r="I559" s="9">
        <v>164</v>
      </c>
    </row>
    <row r="560" spans="1:9" ht="14.25">
      <c r="A560" s="6">
        <v>556</v>
      </c>
      <c r="B560" s="7" t="s">
        <v>104</v>
      </c>
      <c r="C560" s="6" t="s">
        <v>520</v>
      </c>
      <c r="D560" s="7" t="s">
        <v>1050</v>
      </c>
      <c r="E560" s="7" t="s">
        <v>522</v>
      </c>
      <c r="F560" s="12">
        <v>43419</v>
      </c>
      <c r="G560" s="9">
        <v>2990</v>
      </c>
      <c r="H560" s="6">
        <v>1</v>
      </c>
      <c r="I560" s="9">
        <v>2990</v>
      </c>
    </row>
    <row r="561" spans="1:9" ht="14.25">
      <c r="A561" s="6">
        <v>557</v>
      </c>
      <c r="B561" s="7" t="s">
        <v>104</v>
      </c>
      <c r="C561" s="6" t="s">
        <v>520</v>
      </c>
      <c r="D561" s="7" t="s">
        <v>1051</v>
      </c>
      <c r="E561" s="7" t="s">
        <v>522</v>
      </c>
      <c r="F561" s="12">
        <v>43998</v>
      </c>
      <c r="G561" s="9">
        <v>520</v>
      </c>
      <c r="H561" s="6">
        <v>1</v>
      </c>
      <c r="I561" s="9">
        <v>520</v>
      </c>
    </row>
    <row r="562" spans="1:9" ht="14.25">
      <c r="A562" s="6">
        <v>558</v>
      </c>
      <c r="B562" s="7" t="s">
        <v>104</v>
      </c>
      <c r="C562" s="6" t="s">
        <v>520</v>
      </c>
      <c r="D562" s="7" t="s">
        <v>1052</v>
      </c>
      <c r="E562" s="7" t="s">
        <v>522</v>
      </c>
      <c r="F562" s="12">
        <v>44484</v>
      </c>
      <c r="G562" s="9">
        <v>475</v>
      </c>
      <c r="H562" s="6">
        <v>1</v>
      </c>
      <c r="I562" s="9">
        <v>475</v>
      </c>
    </row>
    <row r="563" spans="1:9" ht="14.25">
      <c r="A563" s="6">
        <v>559</v>
      </c>
      <c r="B563" s="7" t="s">
        <v>104</v>
      </c>
      <c r="C563" s="6" t="s">
        <v>520</v>
      </c>
      <c r="D563" s="7" t="s">
        <v>1053</v>
      </c>
      <c r="E563" s="7" t="s">
        <v>522</v>
      </c>
      <c r="F563" s="12">
        <v>44484</v>
      </c>
      <c r="G563" s="9">
        <v>1130</v>
      </c>
      <c r="H563" s="6">
        <v>1</v>
      </c>
      <c r="I563" s="9">
        <v>1130</v>
      </c>
    </row>
    <row r="564" spans="1:9" ht="14.25">
      <c r="A564" s="6">
        <v>560</v>
      </c>
      <c r="B564" s="7" t="s">
        <v>104</v>
      </c>
      <c r="C564" s="6" t="s">
        <v>520</v>
      </c>
      <c r="D564" s="7" t="s">
        <v>1054</v>
      </c>
      <c r="E564" s="7" t="s">
        <v>522</v>
      </c>
      <c r="F564" s="12">
        <v>45364</v>
      </c>
      <c r="G564" s="9">
        <v>1210</v>
      </c>
      <c r="H564" s="6">
        <v>1</v>
      </c>
      <c r="I564" s="9">
        <v>1210</v>
      </c>
    </row>
    <row r="565" spans="1:9" ht="14.25">
      <c r="A565" s="6">
        <v>561</v>
      </c>
      <c r="B565" s="7" t="s">
        <v>238</v>
      </c>
      <c r="C565" s="6" t="s">
        <v>536</v>
      </c>
      <c r="D565" s="7" t="s">
        <v>1055</v>
      </c>
      <c r="E565" s="7" t="s">
        <v>522</v>
      </c>
      <c r="F565" s="12">
        <v>44960</v>
      </c>
      <c r="G565" s="9">
        <v>1950</v>
      </c>
      <c r="H565" s="6">
        <v>2</v>
      </c>
      <c r="I565" s="9">
        <v>975</v>
      </c>
    </row>
    <row r="566" spans="1:9" ht="14.25">
      <c r="A566" s="6">
        <v>562</v>
      </c>
      <c r="B566" s="7" t="s">
        <v>64</v>
      </c>
      <c r="C566" s="6" t="s">
        <v>520</v>
      </c>
      <c r="D566" s="7" t="s">
        <v>1056</v>
      </c>
      <c r="E566" s="7" t="s">
        <v>522</v>
      </c>
      <c r="F566" s="12">
        <v>44103</v>
      </c>
      <c r="G566" s="9">
        <v>5062</v>
      </c>
      <c r="H566" s="6">
        <v>1</v>
      </c>
      <c r="I566" s="9">
        <v>5062</v>
      </c>
    </row>
    <row r="567" spans="1:9" ht="14.25">
      <c r="A567" s="6">
        <v>563</v>
      </c>
      <c r="B567" s="7" t="s">
        <v>64</v>
      </c>
      <c r="C567" s="6" t="s">
        <v>520</v>
      </c>
      <c r="D567" s="7" t="s">
        <v>1057</v>
      </c>
      <c r="E567" s="7" t="s">
        <v>522</v>
      </c>
      <c r="F567" s="12">
        <v>44340</v>
      </c>
      <c r="G567" s="9">
        <v>320</v>
      </c>
      <c r="H567" s="6">
        <v>1</v>
      </c>
      <c r="I567" s="9">
        <v>320</v>
      </c>
    </row>
    <row r="568" spans="1:9" ht="14.25">
      <c r="A568" s="6">
        <v>564</v>
      </c>
      <c r="B568" s="7" t="s">
        <v>64</v>
      </c>
      <c r="C568" s="6" t="s">
        <v>520</v>
      </c>
      <c r="D568" s="7" t="s">
        <v>1058</v>
      </c>
      <c r="E568" s="7" t="s">
        <v>522</v>
      </c>
      <c r="F568" s="12">
        <v>45212</v>
      </c>
      <c r="G568" s="9">
        <v>808</v>
      </c>
      <c r="H568" s="6">
        <v>1</v>
      </c>
      <c r="I568" s="9">
        <v>808</v>
      </c>
    </row>
    <row r="569" spans="1:9" ht="14.25">
      <c r="A569" s="6">
        <v>565</v>
      </c>
      <c r="B569" s="7" t="s">
        <v>296</v>
      </c>
      <c r="C569" s="6" t="s">
        <v>520</v>
      </c>
      <c r="D569" s="7" t="s">
        <v>1059</v>
      </c>
      <c r="E569" s="7" t="s">
        <v>522</v>
      </c>
      <c r="F569" s="12">
        <v>44398</v>
      </c>
      <c r="G569" s="9">
        <v>653</v>
      </c>
      <c r="H569" s="6">
        <v>1</v>
      </c>
      <c r="I569" s="9">
        <v>653</v>
      </c>
    </row>
    <row r="570" spans="1:9" ht="14.25">
      <c r="A570" s="6">
        <v>566</v>
      </c>
      <c r="B570" s="7" t="s">
        <v>508</v>
      </c>
      <c r="C570" s="6" t="s">
        <v>536</v>
      </c>
      <c r="D570" s="7" t="s">
        <v>1060</v>
      </c>
      <c r="E570" s="7" t="s">
        <v>528</v>
      </c>
      <c r="F570" s="12">
        <v>44244</v>
      </c>
      <c r="G570" s="9">
        <v>42</v>
      </c>
      <c r="H570" s="6">
        <v>2</v>
      </c>
      <c r="I570" s="9">
        <v>21</v>
      </c>
    </row>
    <row r="571" spans="1:9" ht="14.25">
      <c r="A571" s="6">
        <v>567</v>
      </c>
      <c r="B571" s="7" t="s">
        <v>142</v>
      </c>
      <c r="C571" s="6" t="s">
        <v>520</v>
      </c>
      <c r="D571" s="7" t="s">
        <v>1061</v>
      </c>
      <c r="E571" s="7" t="s">
        <v>522</v>
      </c>
      <c r="F571" s="12">
        <v>42579</v>
      </c>
      <c r="G571" s="9">
        <v>456.6</v>
      </c>
      <c r="H571" s="6">
        <v>1</v>
      </c>
      <c r="I571" s="9">
        <v>456.6</v>
      </c>
    </row>
    <row r="572" spans="1:9" ht="14.25">
      <c r="A572" s="6">
        <v>568</v>
      </c>
      <c r="B572" s="7" t="s">
        <v>142</v>
      </c>
      <c r="C572" s="6" t="s">
        <v>520</v>
      </c>
      <c r="D572" s="7" t="s">
        <v>1062</v>
      </c>
      <c r="E572" s="7" t="s">
        <v>522</v>
      </c>
      <c r="F572" s="12">
        <v>44525</v>
      </c>
      <c r="G572" s="9">
        <v>403</v>
      </c>
      <c r="H572" s="6">
        <v>1</v>
      </c>
      <c r="I572" s="9">
        <v>403</v>
      </c>
    </row>
    <row r="573" spans="1:9" ht="14.25">
      <c r="A573" s="6">
        <v>569</v>
      </c>
      <c r="B573" s="7" t="s">
        <v>142</v>
      </c>
      <c r="C573" s="6" t="s">
        <v>520</v>
      </c>
      <c r="D573" s="7" t="s">
        <v>1063</v>
      </c>
      <c r="E573" s="7" t="s">
        <v>522</v>
      </c>
      <c r="F573" s="12">
        <v>44323</v>
      </c>
      <c r="G573" s="9">
        <v>482</v>
      </c>
      <c r="H573" s="6">
        <v>1</v>
      </c>
      <c r="I573" s="9">
        <v>482</v>
      </c>
    </row>
    <row r="574" spans="1:9" ht="14.25">
      <c r="A574" s="6">
        <v>570</v>
      </c>
      <c r="B574" s="7" t="s">
        <v>142</v>
      </c>
      <c r="C574" s="6" t="s">
        <v>520</v>
      </c>
      <c r="D574" s="7" t="s">
        <v>602</v>
      </c>
      <c r="E574" s="7" t="s">
        <v>522</v>
      </c>
      <c r="F574" s="12">
        <v>44672</v>
      </c>
      <c r="G574" s="9">
        <v>202</v>
      </c>
      <c r="H574" s="6">
        <v>2</v>
      </c>
      <c r="I574" s="9">
        <v>101</v>
      </c>
    </row>
    <row r="575" spans="1:9" ht="14.25">
      <c r="A575" s="6">
        <v>571</v>
      </c>
      <c r="B575" s="7" t="s">
        <v>142</v>
      </c>
      <c r="C575" s="6" t="s">
        <v>520</v>
      </c>
      <c r="D575" s="7" t="s">
        <v>1064</v>
      </c>
      <c r="E575" s="7" t="s">
        <v>522</v>
      </c>
      <c r="F575" s="12">
        <v>45268</v>
      </c>
      <c r="G575" s="9">
        <v>2012</v>
      </c>
      <c r="H575" s="6">
        <v>1</v>
      </c>
      <c r="I575" s="9">
        <v>2012</v>
      </c>
    </row>
    <row r="576" spans="1:9" ht="14.25">
      <c r="A576" s="6">
        <v>572</v>
      </c>
      <c r="B576" s="7" t="s">
        <v>142</v>
      </c>
      <c r="C576" s="6" t="s">
        <v>520</v>
      </c>
      <c r="D576" s="7" t="s">
        <v>1065</v>
      </c>
      <c r="E576" s="7" t="s">
        <v>522</v>
      </c>
      <c r="F576" s="12">
        <v>45365</v>
      </c>
      <c r="G576" s="9">
        <v>141</v>
      </c>
      <c r="H576" s="6">
        <v>1</v>
      </c>
      <c r="I576" s="9">
        <v>141</v>
      </c>
    </row>
    <row r="577" spans="1:9" ht="14.25">
      <c r="A577" s="6">
        <v>573</v>
      </c>
      <c r="B577" s="7" t="s">
        <v>142</v>
      </c>
      <c r="C577" s="6" t="s">
        <v>520</v>
      </c>
      <c r="D577" s="7" t="s">
        <v>1066</v>
      </c>
      <c r="E577" s="7" t="s">
        <v>522</v>
      </c>
      <c r="F577" s="12">
        <v>45380</v>
      </c>
      <c r="G577" s="9">
        <v>131</v>
      </c>
      <c r="H577" s="6">
        <v>1</v>
      </c>
      <c r="I577" s="9">
        <v>131</v>
      </c>
    </row>
    <row r="578" spans="1:9" ht="14.25">
      <c r="A578" s="6">
        <v>574</v>
      </c>
      <c r="B578" s="7" t="s">
        <v>299</v>
      </c>
      <c r="C578" s="6" t="s">
        <v>520</v>
      </c>
      <c r="D578" s="7" t="s">
        <v>1067</v>
      </c>
      <c r="E578" s="7" t="s">
        <v>522</v>
      </c>
      <c r="F578" s="12">
        <v>43139</v>
      </c>
      <c r="G578" s="9">
        <v>611</v>
      </c>
      <c r="H578" s="6">
        <v>1</v>
      </c>
      <c r="I578" s="9">
        <v>611</v>
      </c>
    </row>
    <row r="579" spans="1:9" ht="14.25">
      <c r="A579" s="6">
        <v>575</v>
      </c>
      <c r="B579" s="7" t="s">
        <v>299</v>
      </c>
      <c r="C579" s="6" t="s">
        <v>520</v>
      </c>
      <c r="D579" s="7" t="s">
        <v>1068</v>
      </c>
      <c r="E579" s="7" t="s">
        <v>522</v>
      </c>
      <c r="F579" s="12">
        <v>43790</v>
      </c>
      <c r="G579" s="9">
        <v>202</v>
      </c>
      <c r="H579" s="6">
        <v>1</v>
      </c>
      <c r="I579" s="9">
        <v>202</v>
      </c>
    </row>
    <row r="580" spans="1:9" ht="14.25">
      <c r="A580" s="6">
        <v>576</v>
      </c>
      <c r="B580" s="7" t="s">
        <v>299</v>
      </c>
      <c r="C580" s="6" t="s">
        <v>520</v>
      </c>
      <c r="D580" s="7" t="s">
        <v>1069</v>
      </c>
      <c r="E580" s="7" t="s">
        <v>528</v>
      </c>
      <c r="F580" s="12">
        <v>44131</v>
      </c>
      <c r="G580" s="9">
        <v>51</v>
      </c>
      <c r="H580" s="6">
        <v>1</v>
      </c>
      <c r="I580" s="9">
        <v>51</v>
      </c>
    </row>
    <row r="581" spans="1:9" ht="14.25">
      <c r="A581" s="6">
        <v>577</v>
      </c>
      <c r="B581" s="7" t="s">
        <v>299</v>
      </c>
      <c r="C581" s="6" t="s">
        <v>536</v>
      </c>
      <c r="D581" s="7" t="s">
        <v>601</v>
      </c>
      <c r="E581" s="7" t="s">
        <v>522</v>
      </c>
      <c r="F581" s="12">
        <v>44308</v>
      </c>
      <c r="G581" s="9">
        <v>86</v>
      </c>
      <c r="H581" s="6">
        <v>2</v>
      </c>
      <c r="I581" s="9">
        <v>43</v>
      </c>
    </row>
    <row r="582" spans="1:9" ht="14.25">
      <c r="A582" s="6">
        <v>578</v>
      </c>
      <c r="B582" s="7" t="s">
        <v>299</v>
      </c>
      <c r="C582" s="6" t="s">
        <v>520</v>
      </c>
      <c r="D582" s="7" t="s">
        <v>1070</v>
      </c>
      <c r="E582" s="7" t="s">
        <v>528</v>
      </c>
      <c r="F582" s="12">
        <v>44336</v>
      </c>
      <c r="G582" s="9">
        <v>232</v>
      </c>
      <c r="H582" s="6">
        <v>1</v>
      </c>
      <c r="I582" s="9">
        <v>232</v>
      </c>
    </row>
    <row r="583" spans="1:9" ht="14.25">
      <c r="A583" s="6">
        <v>579</v>
      </c>
      <c r="B583" s="7" t="s">
        <v>299</v>
      </c>
      <c r="C583" s="6" t="s">
        <v>520</v>
      </c>
      <c r="D583" s="7" t="s">
        <v>1071</v>
      </c>
      <c r="E583" s="7" t="s">
        <v>522</v>
      </c>
      <c r="F583" s="12">
        <v>45265</v>
      </c>
      <c r="G583" s="9">
        <v>420</v>
      </c>
      <c r="H583" s="6">
        <v>1</v>
      </c>
      <c r="I583" s="9">
        <v>420</v>
      </c>
    </row>
    <row r="584" spans="1:9" ht="14.25">
      <c r="A584" s="6">
        <v>580</v>
      </c>
      <c r="B584" s="7" t="s">
        <v>319</v>
      </c>
      <c r="C584" s="6" t="s">
        <v>520</v>
      </c>
      <c r="D584" s="7" t="s">
        <v>1072</v>
      </c>
      <c r="E584" s="7" t="s">
        <v>522</v>
      </c>
      <c r="F584" s="12">
        <v>44741</v>
      </c>
      <c r="G584" s="9">
        <v>531</v>
      </c>
      <c r="H584" s="6">
        <v>1</v>
      </c>
      <c r="I584" s="9">
        <v>531</v>
      </c>
    </row>
    <row r="585" spans="1:9" ht="14.25">
      <c r="A585" s="6">
        <v>581</v>
      </c>
      <c r="B585" s="7" t="s">
        <v>319</v>
      </c>
      <c r="C585" s="6" t="s">
        <v>520</v>
      </c>
      <c r="D585" s="7" t="s">
        <v>1073</v>
      </c>
      <c r="E585" s="7" t="s">
        <v>522</v>
      </c>
      <c r="F585" s="12">
        <v>45329</v>
      </c>
      <c r="G585" s="9">
        <v>146</v>
      </c>
      <c r="H585" s="6">
        <v>1</v>
      </c>
      <c r="I585" s="9">
        <v>146</v>
      </c>
    </row>
    <row r="586" spans="1:9" ht="14.25">
      <c r="A586" s="6">
        <v>582</v>
      </c>
      <c r="B586" s="7" t="s">
        <v>461</v>
      </c>
      <c r="C586" s="6" t="s">
        <v>520</v>
      </c>
      <c r="D586" s="7" t="s">
        <v>1074</v>
      </c>
      <c r="E586" s="7" t="s">
        <v>528</v>
      </c>
      <c r="F586" s="12">
        <v>44476</v>
      </c>
      <c r="G586" s="9">
        <v>16.100000000000001</v>
      </c>
      <c r="H586" s="6">
        <v>1</v>
      </c>
      <c r="I586" s="9">
        <v>16.100000000000001</v>
      </c>
    </row>
    <row r="587" spans="1:9" ht="14.25">
      <c r="A587" s="6">
        <v>583</v>
      </c>
      <c r="B587" s="7" t="s">
        <v>461</v>
      </c>
      <c r="C587" s="6" t="s">
        <v>520</v>
      </c>
      <c r="D587" s="7" t="s">
        <v>1075</v>
      </c>
      <c r="E587" s="7" t="s">
        <v>528</v>
      </c>
      <c r="F587" s="12">
        <v>44209</v>
      </c>
      <c r="G587" s="9">
        <v>25.1</v>
      </c>
      <c r="H587" s="6">
        <v>1</v>
      </c>
      <c r="I587" s="9">
        <v>25.1</v>
      </c>
    </row>
    <row r="588" spans="1:9" ht="14.25">
      <c r="A588" s="6">
        <v>584</v>
      </c>
      <c r="B588" s="7" t="s">
        <v>461</v>
      </c>
      <c r="C588" s="6" t="s">
        <v>520</v>
      </c>
      <c r="D588" s="7" t="s">
        <v>1076</v>
      </c>
      <c r="E588" s="7" t="s">
        <v>522</v>
      </c>
      <c r="F588" s="12">
        <v>44704</v>
      </c>
      <c r="G588" s="9">
        <v>203</v>
      </c>
      <c r="H588" s="6">
        <v>2</v>
      </c>
      <c r="I588" s="9">
        <v>101.5</v>
      </c>
    </row>
    <row r="589" spans="1:9" ht="14.25">
      <c r="A589" s="6">
        <v>585</v>
      </c>
      <c r="B589" s="7" t="s">
        <v>171</v>
      </c>
      <c r="C589" s="6" t="s">
        <v>520</v>
      </c>
      <c r="D589" s="7" t="s">
        <v>1077</v>
      </c>
      <c r="E589" s="7" t="s">
        <v>544</v>
      </c>
      <c r="F589" s="12">
        <v>42538</v>
      </c>
      <c r="G589" s="9">
        <v>1150</v>
      </c>
      <c r="H589" s="6">
        <v>1</v>
      </c>
      <c r="I589" s="9">
        <v>1150</v>
      </c>
    </row>
    <row r="590" spans="1:9" ht="14.25">
      <c r="A590" s="6">
        <v>586</v>
      </c>
      <c r="B590" s="7" t="s">
        <v>171</v>
      </c>
      <c r="C590" s="6" t="s">
        <v>520</v>
      </c>
      <c r="D590" s="7" t="s">
        <v>1078</v>
      </c>
      <c r="E590" s="7" t="s">
        <v>522</v>
      </c>
      <c r="F590" s="12">
        <v>43528</v>
      </c>
      <c r="G590" s="9">
        <v>420</v>
      </c>
      <c r="H590" s="6">
        <v>1</v>
      </c>
      <c r="I590" s="9">
        <v>420</v>
      </c>
    </row>
    <row r="591" spans="1:9" ht="14.25">
      <c r="A591" s="6">
        <v>587</v>
      </c>
      <c r="B591" s="7" t="s">
        <v>171</v>
      </c>
      <c r="C591" s="6" t="s">
        <v>520</v>
      </c>
      <c r="D591" s="7" t="s">
        <v>1079</v>
      </c>
      <c r="E591" s="7" t="s">
        <v>544</v>
      </c>
      <c r="F591" s="12">
        <v>44271</v>
      </c>
      <c r="G591" s="9">
        <v>1591</v>
      </c>
      <c r="H591" s="6">
        <v>1</v>
      </c>
      <c r="I591" s="9">
        <v>1591</v>
      </c>
    </row>
    <row r="592" spans="1:9" ht="14.25">
      <c r="A592" s="6">
        <v>588</v>
      </c>
      <c r="B592" s="7" t="s">
        <v>493</v>
      </c>
      <c r="C592" s="6" t="s">
        <v>520</v>
      </c>
      <c r="D592" s="7" t="s">
        <v>1080</v>
      </c>
      <c r="E592" s="7" t="s">
        <v>528</v>
      </c>
      <c r="F592" s="12">
        <v>44452</v>
      </c>
      <c r="G592" s="9">
        <v>50.6</v>
      </c>
      <c r="H592" s="6">
        <v>1</v>
      </c>
      <c r="I592" s="9">
        <v>50.6</v>
      </c>
    </row>
    <row r="593" spans="1:9" ht="14.25">
      <c r="A593" s="6">
        <v>589</v>
      </c>
      <c r="B593" s="7" t="s">
        <v>173</v>
      </c>
      <c r="C593" s="6" t="s">
        <v>520</v>
      </c>
      <c r="D593" s="7" t="s">
        <v>1081</v>
      </c>
      <c r="E593" s="7" t="s">
        <v>522</v>
      </c>
      <c r="F593" s="12">
        <v>42509</v>
      </c>
      <c r="G593" s="9">
        <v>1531</v>
      </c>
      <c r="H593" s="6">
        <v>1</v>
      </c>
      <c r="I593" s="9">
        <v>1531</v>
      </c>
    </row>
    <row r="594" spans="1:9" ht="14.25">
      <c r="A594" s="6">
        <v>590</v>
      </c>
      <c r="B594" s="7" t="s">
        <v>173</v>
      </c>
      <c r="C594" s="6" t="s">
        <v>520</v>
      </c>
      <c r="D594" s="7" t="s">
        <v>1082</v>
      </c>
      <c r="E594" s="7" t="s">
        <v>522</v>
      </c>
      <c r="F594" s="12">
        <v>45278</v>
      </c>
      <c r="G594" s="9">
        <v>879.1</v>
      </c>
      <c r="H594" s="6">
        <v>1</v>
      </c>
      <c r="I594" s="9">
        <v>879.1</v>
      </c>
    </row>
    <row r="595" spans="1:9" ht="14.25">
      <c r="A595" s="6">
        <v>591</v>
      </c>
      <c r="B595" s="7" t="s">
        <v>132</v>
      </c>
      <c r="C595" s="6" t="s">
        <v>520</v>
      </c>
      <c r="D595" s="7" t="s">
        <v>1083</v>
      </c>
      <c r="E595" s="7" t="s">
        <v>522</v>
      </c>
      <c r="F595" s="12">
        <v>43462</v>
      </c>
      <c r="G595" s="9">
        <v>2200</v>
      </c>
      <c r="H595" s="6">
        <v>1</v>
      </c>
      <c r="I595" s="9">
        <v>2200</v>
      </c>
    </row>
    <row r="596" spans="1:9" ht="14.25">
      <c r="A596" s="6">
        <v>592</v>
      </c>
      <c r="B596" s="7" t="s">
        <v>132</v>
      </c>
      <c r="C596" s="6" t="s">
        <v>520</v>
      </c>
      <c r="D596" s="7" t="s">
        <v>1084</v>
      </c>
      <c r="E596" s="7" t="s">
        <v>522</v>
      </c>
      <c r="F596" s="12">
        <v>43703</v>
      </c>
      <c r="G596" s="9">
        <v>2230</v>
      </c>
      <c r="H596" s="6">
        <v>1</v>
      </c>
      <c r="I596" s="9">
        <v>2230</v>
      </c>
    </row>
    <row r="597" spans="1:9" ht="14.25">
      <c r="A597" s="6">
        <v>593</v>
      </c>
      <c r="B597" s="7" t="s">
        <v>132</v>
      </c>
      <c r="C597" s="6" t="s">
        <v>520</v>
      </c>
      <c r="D597" s="7" t="s">
        <v>1085</v>
      </c>
      <c r="E597" s="7" t="s">
        <v>544</v>
      </c>
      <c r="F597" s="12">
        <v>43570</v>
      </c>
      <c r="G597" s="9">
        <v>2040</v>
      </c>
      <c r="H597" s="6">
        <v>2</v>
      </c>
      <c r="I597" s="9">
        <v>1020</v>
      </c>
    </row>
    <row r="598" spans="1:9" ht="14.25">
      <c r="A598" s="6">
        <v>594</v>
      </c>
      <c r="B598" s="7" t="s">
        <v>132</v>
      </c>
      <c r="C598" s="6" t="s">
        <v>520</v>
      </c>
      <c r="D598" s="7" t="s">
        <v>1086</v>
      </c>
      <c r="E598" s="7" t="s">
        <v>544</v>
      </c>
      <c r="F598" s="12">
        <v>43783</v>
      </c>
      <c r="G598" s="9">
        <v>1021</v>
      </c>
      <c r="H598" s="6">
        <v>2</v>
      </c>
      <c r="I598" s="9">
        <v>510.5</v>
      </c>
    </row>
    <row r="599" spans="1:9" ht="14.25">
      <c r="A599" s="6">
        <v>595</v>
      </c>
      <c r="B599" s="7" t="s">
        <v>132</v>
      </c>
      <c r="C599" s="6" t="s">
        <v>520</v>
      </c>
      <c r="D599" s="7" t="s">
        <v>581</v>
      </c>
      <c r="E599" s="7" t="s">
        <v>522</v>
      </c>
      <c r="F599" s="12">
        <v>44743</v>
      </c>
      <c r="G599" s="9">
        <v>530</v>
      </c>
      <c r="H599" s="6">
        <v>2</v>
      </c>
      <c r="I599" s="9">
        <v>265</v>
      </c>
    </row>
    <row r="600" spans="1:9" ht="14.25">
      <c r="A600" s="6">
        <v>596</v>
      </c>
      <c r="B600" s="7" t="s">
        <v>132</v>
      </c>
      <c r="C600" s="6" t="s">
        <v>520</v>
      </c>
      <c r="D600" s="7" t="s">
        <v>1087</v>
      </c>
      <c r="E600" s="7" t="s">
        <v>544</v>
      </c>
      <c r="F600" s="12">
        <v>44637</v>
      </c>
      <c r="G600" s="9">
        <v>1340</v>
      </c>
      <c r="H600" s="6">
        <v>2</v>
      </c>
      <c r="I600" s="9">
        <v>670</v>
      </c>
    </row>
    <row r="601" spans="1:9" ht="14.25">
      <c r="A601" s="6">
        <v>597</v>
      </c>
      <c r="B601" s="7" t="s">
        <v>132</v>
      </c>
      <c r="C601" s="6" t="s">
        <v>536</v>
      </c>
      <c r="D601" s="7" t="s">
        <v>1088</v>
      </c>
      <c r="E601" s="7" t="s">
        <v>522</v>
      </c>
      <c r="F601" s="12">
        <v>44729</v>
      </c>
      <c r="G601" s="9">
        <v>2200</v>
      </c>
      <c r="H601" s="6">
        <v>2</v>
      </c>
      <c r="I601" s="9">
        <v>1100</v>
      </c>
    </row>
    <row r="602" spans="1:9" ht="14.25">
      <c r="A602" s="6">
        <v>598</v>
      </c>
      <c r="B602" s="7" t="s">
        <v>132</v>
      </c>
      <c r="C602" s="6" t="s">
        <v>520</v>
      </c>
      <c r="D602" s="7" t="s">
        <v>1089</v>
      </c>
      <c r="E602" s="7" t="s">
        <v>522</v>
      </c>
      <c r="F602" s="12">
        <v>44846</v>
      </c>
      <c r="G602" s="9">
        <v>263</v>
      </c>
      <c r="H602" s="6">
        <v>2</v>
      </c>
      <c r="I602" s="9">
        <v>131.5</v>
      </c>
    </row>
    <row r="603" spans="1:9" ht="14.25">
      <c r="A603" s="6">
        <v>599</v>
      </c>
      <c r="B603" s="7" t="s">
        <v>132</v>
      </c>
      <c r="C603" s="6" t="s">
        <v>520</v>
      </c>
      <c r="D603" s="7" t="s">
        <v>1055</v>
      </c>
      <c r="E603" s="7" t="s">
        <v>522</v>
      </c>
      <c r="F603" s="12">
        <v>44960</v>
      </c>
      <c r="G603" s="9">
        <v>1950</v>
      </c>
      <c r="H603" s="6">
        <v>2</v>
      </c>
      <c r="I603" s="9">
        <v>975</v>
      </c>
    </row>
    <row r="604" spans="1:9" ht="14.25">
      <c r="A604" s="6">
        <v>600</v>
      </c>
      <c r="B604" s="7" t="s">
        <v>132</v>
      </c>
      <c r="C604" s="6" t="s">
        <v>520</v>
      </c>
      <c r="D604" s="7" t="s">
        <v>1090</v>
      </c>
      <c r="E604" s="7" t="s">
        <v>522</v>
      </c>
      <c r="F604" s="12">
        <v>45063</v>
      </c>
      <c r="G604" s="9">
        <v>1700</v>
      </c>
      <c r="H604" s="6">
        <v>2</v>
      </c>
      <c r="I604" s="9">
        <v>850</v>
      </c>
    </row>
    <row r="605" spans="1:9" ht="14.25">
      <c r="A605" s="6">
        <v>601</v>
      </c>
      <c r="B605" s="7" t="s">
        <v>132</v>
      </c>
      <c r="C605" s="6" t="s">
        <v>520</v>
      </c>
      <c r="D605" s="7" t="s">
        <v>1091</v>
      </c>
      <c r="E605" s="7" t="s">
        <v>522</v>
      </c>
      <c r="F605" s="12">
        <v>45548</v>
      </c>
      <c r="G605" s="9">
        <v>257</v>
      </c>
      <c r="H605" s="6">
        <v>2</v>
      </c>
      <c r="I605" s="9">
        <v>128.5</v>
      </c>
    </row>
    <row r="606" spans="1:9" ht="14.25">
      <c r="A606" s="6">
        <v>602</v>
      </c>
      <c r="B606" s="7" t="s">
        <v>132</v>
      </c>
      <c r="C606" s="6" t="s">
        <v>520</v>
      </c>
      <c r="D606" s="7" t="s">
        <v>582</v>
      </c>
      <c r="E606" s="7" t="s">
        <v>522</v>
      </c>
      <c r="F606" s="12">
        <v>45386</v>
      </c>
      <c r="G606" s="9">
        <v>511</v>
      </c>
      <c r="H606" s="6">
        <v>2</v>
      </c>
      <c r="I606" s="9">
        <v>255.5</v>
      </c>
    </row>
    <row r="607" spans="1:9" ht="14.25">
      <c r="A607" s="6">
        <v>603</v>
      </c>
      <c r="B607" s="7" t="s">
        <v>503</v>
      </c>
      <c r="C607" s="6" t="s">
        <v>536</v>
      </c>
      <c r="D607" s="7" t="s">
        <v>885</v>
      </c>
      <c r="E607" s="7" t="s">
        <v>522</v>
      </c>
      <c r="F607" s="12">
        <v>44518</v>
      </c>
      <c r="G607" s="9">
        <v>62</v>
      </c>
      <c r="H607" s="6">
        <v>2</v>
      </c>
      <c r="I607" s="9">
        <v>31</v>
      </c>
    </row>
    <row r="608" spans="1:9" ht="14.25">
      <c r="A608" s="6">
        <v>604</v>
      </c>
      <c r="B608" s="7" t="s">
        <v>272</v>
      </c>
      <c r="C608" s="6" t="s">
        <v>520</v>
      </c>
      <c r="D608" s="7" t="s">
        <v>1092</v>
      </c>
      <c r="E608" s="7" t="s">
        <v>522</v>
      </c>
      <c r="F608" s="12">
        <v>43647</v>
      </c>
      <c r="G608" s="9">
        <v>62.7</v>
      </c>
      <c r="H608" s="6">
        <v>1</v>
      </c>
      <c r="I608" s="9">
        <v>62.7</v>
      </c>
    </row>
    <row r="609" spans="1:9" ht="14.25">
      <c r="A609" s="6">
        <v>605</v>
      </c>
      <c r="B609" s="7" t="s">
        <v>272</v>
      </c>
      <c r="C609" s="6" t="s">
        <v>520</v>
      </c>
      <c r="D609" s="7" t="s">
        <v>1093</v>
      </c>
      <c r="E609" s="7" t="s">
        <v>528</v>
      </c>
      <c r="F609" s="12">
        <v>44553</v>
      </c>
      <c r="G609" s="9">
        <v>754</v>
      </c>
      <c r="H609" s="6">
        <v>1</v>
      </c>
      <c r="I609" s="9">
        <v>754</v>
      </c>
    </row>
    <row r="610" spans="1:9" ht="14.25">
      <c r="A610" s="6">
        <v>606</v>
      </c>
      <c r="B610" s="7" t="s">
        <v>376</v>
      </c>
      <c r="C610" s="6" t="s">
        <v>520</v>
      </c>
      <c r="D610" s="7" t="s">
        <v>1094</v>
      </c>
      <c r="E610" s="7" t="s">
        <v>522</v>
      </c>
      <c r="F610" s="12">
        <v>44670</v>
      </c>
      <c r="G610" s="9">
        <v>200</v>
      </c>
      <c r="H610" s="6">
        <v>1</v>
      </c>
      <c r="I610" s="9">
        <v>200</v>
      </c>
    </row>
    <row r="611" spans="1:9" ht="14.25">
      <c r="A611" s="6">
        <v>607</v>
      </c>
      <c r="B611" s="7" t="s">
        <v>376</v>
      </c>
      <c r="C611" s="6" t="s">
        <v>520</v>
      </c>
      <c r="D611" s="7" t="s">
        <v>1095</v>
      </c>
      <c r="E611" s="7" t="s">
        <v>522</v>
      </c>
      <c r="F611" s="12">
        <v>45492</v>
      </c>
      <c r="G611" s="9">
        <v>293.8</v>
      </c>
      <c r="H611" s="6">
        <v>1</v>
      </c>
      <c r="I611" s="9">
        <v>293.8</v>
      </c>
    </row>
    <row r="612" spans="1:9" ht="14.25">
      <c r="A612" s="6">
        <v>608</v>
      </c>
      <c r="B612" s="7" t="s">
        <v>386</v>
      </c>
      <c r="C612" s="6" t="s">
        <v>520</v>
      </c>
      <c r="D612" s="7" t="s">
        <v>1096</v>
      </c>
      <c r="E612" s="7" t="s">
        <v>522</v>
      </c>
      <c r="F612" s="12">
        <v>44295</v>
      </c>
      <c r="G612" s="9">
        <v>257</v>
      </c>
      <c r="H612" s="6">
        <v>1</v>
      </c>
      <c r="I612" s="9">
        <v>257</v>
      </c>
    </row>
    <row r="613" spans="1:9" ht="14.25">
      <c r="A613" s="6">
        <v>609</v>
      </c>
      <c r="B613" s="7" t="s">
        <v>190</v>
      </c>
      <c r="C613" s="6" t="s">
        <v>520</v>
      </c>
      <c r="D613" s="7" t="s">
        <v>1097</v>
      </c>
      <c r="E613" s="7" t="s">
        <v>522</v>
      </c>
      <c r="F613" s="12">
        <v>43843</v>
      </c>
      <c r="G613" s="9">
        <v>1220</v>
      </c>
      <c r="H613" s="6">
        <v>1</v>
      </c>
      <c r="I613" s="9">
        <v>1220</v>
      </c>
    </row>
    <row r="614" spans="1:9" ht="14.25">
      <c r="A614" s="6">
        <v>610</v>
      </c>
      <c r="B614" s="7" t="s">
        <v>190</v>
      </c>
      <c r="C614" s="6" t="s">
        <v>520</v>
      </c>
      <c r="D614" s="7" t="s">
        <v>1098</v>
      </c>
      <c r="E614" s="7" t="s">
        <v>522</v>
      </c>
      <c r="F614" s="12">
        <v>44021</v>
      </c>
      <c r="G614" s="9">
        <v>311</v>
      </c>
      <c r="H614" s="6">
        <v>1</v>
      </c>
      <c r="I614" s="9">
        <v>311</v>
      </c>
    </row>
    <row r="615" spans="1:9" ht="14.25">
      <c r="A615" s="6">
        <v>611</v>
      </c>
      <c r="B615" s="7" t="s">
        <v>190</v>
      </c>
      <c r="C615" s="6" t="s">
        <v>520</v>
      </c>
      <c r="D615" s="7" t="s">
        <v>1099</v>
      </c>
      <c r="E615" s="7" t="s">
        <v>522</v>
      </c>
      <c r="F615" s="12">
        <v>45656</v>
      </c>
      <c r="G615" s="9">
        <v>1265</v>
      </c>
      <c r="H615" s="6">
        <v>1</v>
      </c>
      <c r="I615" s="9">
        <v>1265</v>
      </c>
    </row>
    <row r="616" spans="1:9" ht="14.25">
      <c r="A616" s="6">
        <v>612</v>
      </c>
      <c r="B616" s="7" t="s">
        <v>190</v>
      </c>
      <c r="C616" s="6" t="s">
        <v>536</v>
      </c>
      <c r="D616" s="7" t="s">
        <v>1100</v>
      </c>
      <c r="E616" s="7" t="s">
        <v>522</v>
      </c>
      <c r="F616" s="12">
        <v>45482</v>
      </c>
      <c r="G616" s="9">
        <v>1050</v>
      </c>
      <c r="H616" s="6">
        <v>2</v>
      </c>
      <c r="I616" s="9">
        <v>525</v>
      </c>
    </row>
    <row r="617" spans="1:9" ht="14.25">
      <c r="A617" s="6">
        <v>613</v>
      </c>
      <c r="B617" s="7" t="s">
        <v>419</v>
      </c>
      <c r="C617" s="6" t="s">
        <v>520</v>
      </c>
      <c r="D617" s="7" t="s">
        <v>1101</v>
      </c>
      <c r="E617" s="7" t="s">
        <v>528</v>
      </c>
      <c r="F617" s="12">
        <v>44134</v>
      </c>
      <c r="G617" s="9">
        <v>50.1</v>
      </c>
      <c r="H617" s="6">
        <v>1</v>
      </c>
      <c r="I617" s="9">
        <v>50.1</v>
      </c>
    </row>
    <row r="618" spans="1:9" ht="14.25">
      <c r="A618" s="6">
        <v>614</v>
      </c>
      <c r="B618" s="7" t="s">
        <v>419</v>
      </c>
      <c r="C618" s="6" t="s">
        <v>520</v>
      </c>
      <c r="D618" s="7" t="s">
        <v>1102</v>
      </c>
      <c r="E618" s="7" t="s">
        <v>522</v>
      </c>
      <c r="F618" s="12">
        <v>44186</v>
      </c>
      <c r="G618" s="9">
        <v>87</v>
      </c>
      <c r="H618" s="6">
        <v>1</v>
      </c>
      <c r="I618" s="9">
        <v>87</v>
      </c>
    </row>
    <row r="619" spans="1:9" ht="14.25">
      <c r="A619" s="6">
        <v>615</v>
      </c>
      <c r="B619" s="7" t="s">
        <v>419</v>
      </c>
      <c r="C619" s="6" t="s">
        <v>520</v>
      </c>
      <c r="D619" s="7" t="s">
        <v>1103</v>
      </c>
      <c r="E619" s="7" t="s">
        <v>528</v>
      </c>
      <c r="F619" s="12">
        <v>44375</v>
      </c>
      <c r="G619" s="9">
        <v>188.9</v>
      </c>
      <c r="H619" s="6">
        <v>1</v>
      </c>
      <c r="I619" s="9">
        <v>188.9</v>
      </c>
    </row>
    <row r="620" spans="1:9" ht="14.25">
      <c r="A620" s="6">
        <v>616</v>
      </c>
      <c r="B620" s="7" t="s">
        <v>240</v>
      </c>
      <c r="C620" s="6" t="s">
        <v>536</v>
      </c>
      <c r="D620" s="7" t="s">
        <v>1104</v>
      </c>
      <c r="E620" s="7" t="s">
        <v>522</v>
      </c>
      <c r="F620" s="12">
        <v>42604</v>
      </c>
      <c r="G620" s="9">
        <v>720</v>
      </c>
      <c r="H620" s="6">
        <v>2</v>
      </c>
      <c r="I620" s="9">
        <v>360</v>
      </c>
    </row>
    <row r="621" spans="1:9" ht="14.25">
      <c r="A621" s="6">
        <v>617</v>
      </c>
      <c r="B621" s="7" t="s">
        <v>240</v>
      </c>
      <c r="C621" s="6" t="s">
        <v>520</v>
      </c>
      <c r="D621" s="7" t="s">
        <v>1105</v>
      </c>
      <c r="E621" s="7" t="s">
        <v>522</v>
      </c>
      <c r="F621" s="12">
        <v>42485</v>
      </c>
      <c r="G621" s="9">
        <v>200</v>
      </c>
      <c r="H621" s="6">
        <v>1</v>
      </c>
      <c r="I621" s="9">
        <v>200</v>
      </c>
    </row>
    <row r="622" spans="1:9" ht="14.25">
      <c r="A622" s="6">
        <v>618</v>
      </c>
      <c r="B622" s="7" t="s">
        <v>240</v>
      </c>
      <c r="C622" s="6" t="s">
        <v>520</v>
      </c>
      <c r="D622" s="7" t="s">
        <v>1106</v>
      </c>
      <c r="E622" s="7" t="s">
        <v>522</v>
      </c>
      <c r="F622" s="12">
        <v>43319</v>
      </c>
      <c r="G622" s="9">
        <v>102</v>
      </c>
      <c r="H622" s="6">
        <v>1</v>
      </c>
      <c r="I622" s="9">
        <v>102</v>
      </c>
    </row>
    <row r="623" spans="1:9" ht="14.25">
      <c r="A623" s="6">
        <v>619</v>
      </c>
      <c r="B623" s="7" t="s">
        <v>240</v>
      </c>
      <c r="C623" s="6" t="s">
        <v>536</v>
      </c>
      <c r="D623" s="7" t="s">
        <v>900</v>
      </c>
      <c r="E623" s="7" t="s">
        <v>522</v>
      </c>
      <c r="F623" s="12">
        <v>44483</v>
      </c>
      <c r="G623" s="9">
        <v>1250</v>
      </c>
      <c r="H623" s="6">
        <v>2</v>
      </c>
      <c r="I623" s="9">
        <v>625</v>
      </c>
    </row>
    <row r="624" spans="1:9" ht="14.25">
      <c r="A624" s="6">
        <v>620</v>
      </c>
      <c r="B624" s="7" t="s">
        <v>240</v>
      </c>
      <c r="C624" s="6" t="s">
        <v>520</v>
      </c>
      <c r="D624" s="7" t="s">
        <v>1107</v>
      </c>
      <c r="E624" s="7" t="s">
        <v>522</v>
      </c>
      <c r="F624" s="12">
        <v>44897</v>
      </c>
      <c r="G624" s="9">
        <v>1912.8</v>
      </c>
      <c r="H624" s="6">
        <v>2</v>
      </c>
      <c r="I624" s="9">
        <v>956.4</v>
      </c>
    </row>
    <row r="625" spans="1:9" ht="14.25">
      <c r="A625" s="6">
        <v>621</v>
      </c>
      <c r="B625" s="7" t="s">
        <v>240</v>
      </c>
      <c r="C625" s="6" t="s">
        <v>520</v>
      </c>
      <c r="D625" s="7" t="s">
        <v>1108</v>
      </c>
      <c r="E625" s="7" t="s">
        <v>522</v>
      </c>
      <c r="F625" s="12">
        <v>45279</v>
      </c>
      <c r="G625" s="9">
        <v>1200</v>
      </c>
      <c r="H625" s="6">
        <v>2</v>
      </c>
      <c r="I625" s="9">
        <v>600</v>
      </c>
    </row>
    <row r="626" spans="1:9" ht="14.25">
      <c r="A626" s="6">
        <v>622</v>
      </c>
      <c r="B626" s="7" t="s">
        <v>375</v>
      </c>
      <c r="C626" s="6" t="s">
        <v>520</v>
      </c>
      <c r="D626" s="7" t="s">
        <v>1109</v>
      </c>
      <c r="E626" s="7" t="s">
        <v>522</v>
      </c>
      <c r="F626" s="12">
        <v>45246</v>
      </c>
      <c r="G626" s="9">
        <v>590.4</v>
      </c>
      <c r="H626" s="6">
        <v>2</v>
      </c>
      <c r="I626" s="9">
        <v>295.2</v>
      </c>
    </row>
    <row r="627" spans="1:9" ht="14.25">
      <c r="A627" s="6">
        <v>623</v>
      </c>
      <c r="B627" s="7" t="s">
        <v>367</v>
      </c>
      <c r="C627" s="6" t="s">
        <v>536</v>
      </c>
      <c r="D627" s="7" t="s">
        <v>1110</v>
      </c>
      <c r="E627" s="7" t="s">
        <v>522</v>
      </c>
      <c r="F627" s="12">
        <v>45526</v>
      </c>
      <c r="G627" s="9">
        <v>640</v>
      </c>
      <c r="H627" s="6">
        <v>2</v>
      </c>
      <c r="I627" s="9">
        <v>320</v>
      </c>
    </row>
    <row r="628" spans="1:9" ht="14.25">
      <c r="A628" s="6">
        <v>624</v>
      </c>
      <c r="B628" s="7" t="s">
        <v>468</v>
      </c>
      <c r="C628" s="6" t="s">
        <v>520</v>
      </c>
      <c r="D628" s="7" t="s">
        <v>1111</v>
      </c>
      <c r="E628" s="7" t="s">
        <v>522</v>
      </c>
      <c r="F628" s="12">
        <v>45518</v>
      </c>
      <c r="G628" s="9">
        <v>100</v>
      </c>
      <c r="H628" s="6">
        <v>1</v>
      </c>
      <c r="I628" s="9">
        <v>100</v>
      </c>
    </row>
    <row r="629" spans="1:9" ht="14.25">
      <c r="A629" s="6">
        <v>625</v>
      </c>
      <c r="B629" s="7" t="s">
        <v>16</v>
      </c>
      <c r="C629" s="6" t="s">
        <v>520</v>
      </c>
      <c r="D629" s="7" t="s">
        <v>1112</v>
      </c>
      <c r="E629" s="7" t="s">
        <v>522</v>
      </c>
      <c r="F629" s="12">
        <v>41320</v>
      </c>
      <c r="G629" s="9">
        <v>25406</v>
      </c>
      <c r="H629" s="6">
        <v>1</v>
      </c>
      <c r="I629" s="9">
        <v>25406</v>
      </c>
    </row>
    <row r="630" spans="1:9" ht="14.25">
      <c r="A630" s="6">
        <v>626</v>
      </c>
      <c r="B630" s="7" t="s">
        <v>16</v>
      </c>
      <c r="C630" s="6" t="s">
        <v>520</v>
      </c>
      <c r="D630" s="7" t="s">
        <v>1113</v>
      </c>
      <c r="E630" s="7" t="s">
        <v>522</v>
      </c>
      <c r="F630" s="12">
        <v>41596</v>
      </c>
      <c r="G630" s="9">
        <v>1679.2</v>
      </c>
      <c r="H630" s="6">
        <v>1</v>
      </c>
      <c r="I630" s="9">
        <v>1679.2</v>
      </c>
    </row>
    <row r="631" spans="1:9" ht="14.25">
      <c r="A631" s="6">
        <v>627</v>
      </c>
      <c r="B631" s="7" t="s">
        <v>16</v>
      </c>
      <c r="C631" s="6" t="s">
        <v>520</v>
      </c>
      <c r="D631" s="7" t="s">
        <v>1114</v>
      </c>
      <c r="E631" s="7" t="s">
        <v>522</v>
      </c>
      <c r="F631" s="12">
        <v>42766</v>
      </c>
      <c r="G631" s="9">
        <v>20000</v>
      </c>
      <c r="H631" s="6">
        <v>1</v>
      </c>
      <c r="I631" s="9">
        <v>20000</v>
      </c>
    </row>
    <row r="632" spans="1:9" ht="14.25">
      <c r="A632" s="6">
        <v>628</v>
      </c>
      <c r="B632" s="7" t="s">
        <v>16</v>
      </c>
      <c r="C632" s="6" t="s">
        <v>520</v>
      </c>
      <c r="D632" s="7" t="s">
        <v>1115</v>
      </c>
      <c r="E632" s="7" t="s">
        <v>522</v>
      </c>
      <c r="F632" s="12">
        <v>43690</v>
      </c>
      <c r="G632" s="9">
        <v>408</v>
      </c>
      <c r="H632" s="6">
        <v>1</v>
      </c>
      <c r="I632" s="9">
        <v>408</v>
      </c>
    </row>
    <row r="633" spans="1:9" ht="14.25">
      <c r="A633" s="6">
        <v>629</v>
      </c>
      <c r="B633" s="7" t="s">
        <v>16</v>
      </c>
      <c r="C633" s="6" t="s">
        <v>520</v>
      </c>
      <c r="D633" s="7" t="s">
        <v>1116</v>
      </c>
      <c r="E633" s="7" t="s">
        <v>522</v>
      </c>
      <c r="F633" s="12">
        <v>43815</v>
      </c>
      <c r="G633" s="9">
        <v>10069.6</v>
      </c>
      <c r="H633" s="6">
        <v>1</v>
      </c>
      <c r="I633" s="9">
        <v>10069.6</v>
      </c>
    </row>
    <row r="634" spans="1:9" ht="14.25">
      <c r="A634" s="6">
        <v>630</v>
      </c>
      <c r="B634" s="7" t="s">
        <v>16</v>
      </c>
      <c r="C634" s="6" t="s">
        <v>520</v>
      </c>
      <c r="D634" s="7" t="s">
        <v>1117</v>
      </c>
      <c r="E634" s="7" t="s">
        <v>522</v>
      </c>
      <c r="F634" s="12">
        <v>43931</v>
      </c>
      <c r="G634" s="9">
        <v>45350</v>
      </c>
      <c r="H634" s="6">
        <v>1</v>
      </c>
      <c r="I634" s="9">
        <v>45350</v>
      </c>
    </row>
    <row r="635" spans="1:9" ht="14.25">
      <c r="A635" s="6">
        <v>631</v>
      </c>
      <c r="B635" s="7" t="s">
        <v>16</v>
      </c>
      <c r="C635" s="6" t="s">
        <v>536</v>
      </c>
      <c r="D635" s="7" t="s">
        <v>1118</v>
      </c>
      <c r="E635" s="7" t="s">
        <v>522</v>
      </c>
      <c r="F635" s="12">
        <v>45092</v>
      </c>
      <c r="G635" s="9">
        <v>1551</v>
      </c>
      <c r="H635" s="6">
        <v>2</v>
      </c>
      <c r="I635" s="9">
        <v>775.5</v>
      </c>
    </row>
    <row r="636" spans="1:9" ht="14.25">
      <c r="A636" s="6">
        <v>632</v>
      </c>
      <c r="B636" s="7" t="s">
        <v>16</v>
      </c>
      <c r="C636" s="6" t="s">
        <v>536</v>
      </c>
      <c r="D636" s="7" t="s">
        <v>1119</v>
      </c>
      <c r="E636" s="7" t="s">
        <v>522</v>
      </c>
      <c r="F636" s="12">
        <v>45092</v>
      </c>
      <c r="G636" s="9">
        <v>1211</v>
      </c>
      <c r="H636" s="6">
        <v>2</v>
      </c>
      <c r="I636" s="9">
        <v>605.5</v>
      </c>
    </row>
    <row r="637" spans="1:9" ht="14.25">
      <c r="A637" s="6">
        <v>633</v>
      </c>
      <c r="B637" s="7" t="s">
        <v>16</v>
      </c>
      <c r="C637" s="6" t="s">
        <v>536</v>
      </c>
      <c r="D637" s="7" t="s">
        <v>1120</v>
      </c>
      <c r="E637" s="7" t="s">
        <v>522</v>
      </c>
      <c r="F637" s="12">
        <v>45090</v>
      </c>
      <c r="G637" s="9">
        <v>552</v>
      </c>
      <c r="H637" s="6">
        <v>2</v>
      </c>
      <c r="I637" s="9">
        <v>276</v>
      </c>
    </row>
    <row r="638" spans="1:9" ht="14.25">
      <c r="A638" s="6">
        <v>634</v>
      </c>
      <c r="B638" s="7" t="s">
        <v>16</v>
      </c>
      <c r="C638" s="6" t="s">
        <v>520</v>
      </c>
      <c r="D638" s="7" t="s">
        <v>1121</v>
      </c>
      <c r="E638" s="7" t="s">
        <v>522</v>
      </c>
      <c r="F638" s="12">
        <v>45120</v>
      </c>
      <c r="G638" s="9">
        <v>1709</v>
      </c>
      <c r="H638" s="6">
        <v>2</v>
      </c>
      <c r="I638" s="9">
        <v>854.5</v>
      </c>
    </row>
    <row r="639" spans="1:9" ht="14.25">
      <c r="A639" s="6">
        <v>635</v>
      </c>
      <c r="B639" s="7" t="s">
        <v>16</v>
      </c>
      <c r="C639" s="6" t="s">
        <v>520</v>
      </c>
      <c r="D639" s="7" t="s">
        <v>1122</v>
      </c>
      <c r="E639" s="7" t="s">
        <v>522</v>
      </c>
      <c r="F639" s="12">
        <v>45176</v>
      </c>
      <c r="G639" s="9">
        <v>661.7</v>
      </c>
      <c r="H639" s="6">
        <v>1</v>
      </c>
      <c r="I639" s="9">
        <v>661.7</v>
      </c>
    </row>
    <row r="640" spans="1:9" ht="14.25">
      <c r="A640" s="6">
        <v>636</v>
      </c>
      <c r="B640" s="7" t="s">
        <v>16</v>
      </c>
      <c r="C640" s="6" t="s">
        <v>520</v>
      </c>
      <c r="D640" s="7" t="s">
        <v>1123</v>
      </c>
      <c r="E640" s="7" t="s">
        <v>522</v>
      </c>
      <c r="F640" s="12">
        <v>44988</v>
      </c>
      <c r="G640" s="9">
        <v>2420</v>
      </c>
      <c r="H640" s="6">
        <v>1</v>
      </c>
      <c r="I640" s="9">
        <v>2420</v>
      </c>
    </row>
    <row r="641" spans="1:9" ht="14.25">
      <c r="A641" s="6">
        <v>637</v>
      </c>
      <c r="B641" s="7" t="s">
        <v>16</v>
      </c>
      <c r="C641" s="6" t="s">
        <v>520</v>
      </c>
      <c r="D641" s="7" t="s">
        <v>1124</v>
      </c>
      <c r="E641" s="7" t="s">
        <v>522</v>
      </c>
      <c r="F641" s="12">
        <v>44988</v>
      </c>
      <c r="G641" s="9">
        <v>2088</v>
      </c>
      <c r="H641" s="6">
        <v>1</v>
      </c>
      <c r="I641" s="9">
        <v>2088</v>
      </c>
    </row>
    <row r="642" spans="1:9" ht="14.25">
      <c r="A642" s="6">
        <v>638</v>
      </c>
      <c r="B642" s="7" t="s">
        <v>16</v>
      </c>
      <c r="C642" s="6" t="s">
        <v>520</v>
      </c>
      <c r="D642" s="7" t="s">
        <v>1125</v>
      </c>
      <c r="E642" s="7" t="s">
        <v>522</v>
      </c>
      <c r="F642" s="12">
        <v>45168</v>
      </c>
      <c r="G642" s="9">
        <v>17000</v>
      </c>
      <c r="H642" s="6">
        <v>1</v>
      </c>
      <c r="I642" s="9">
        <v>17000</v>
      </c>
    </row>
    <row r="643" spans="1:9" ht="14.25">
      <c r="A643" s="6">
        <v>639</v>
      </c>
      <c r="B643" s="7" t="s">
        <v>16</v>
      </c>
      <c r="C643" s="6" t="s">
        <v>520</v>
      </c>
      <c r="D643" s="7" t="s">
        <v>1126</v>
      </c>
      <c r="E643" s="7" t="s">
        <v>522</v>
      </c>
      <c r="F643" s="12">
        <v>45233</v>
      </c>
      <c r="G643" s="9">
        <v>2678</v>
      </c>
      <c r="H643" s="6">
        <v>1</v>
      </c>
      <c r="I643" s="9">
        <v>2678</v>
      </c>
    </row>
    <row r="644" spans="1:9" ht="14.25">
      <c r="A644" s="6">
        <v>640</v>
      </c>
      <c r="B644" s="7" t="s">
        <v>16</v>
      </c>
      <c r="C644" s="6" t="s">
        <v>520</v>
      </c>
      <c r="D644" s="7" t="s">
        <v>1127</v>
      </c>
      <c r="E644" s="7" t="s">
        <v>522</v>
      </c>
      <c r="F644" s="12">
        <v>45294</v>
      </c>
      <c r="G644" s="9">
        <v>338.5</v>
      </c>
      <c r="H644" s="6">
        <v>2</v>
      </c>
      <c r="I644" s="9">
        <v>169.2</v>
      </c>
    </row>
    <row r="645" spans="1:9" ht="14.25">
      <c r="A645" s="6">
        <v>641</v>
      </c>
      <c r="B645" s="7" t="s">
        <v>16</v>
      </c>
      <c r="C645" s="6" t="s">
        <v>536</v>
      </c>
      <c r="D645" s="7" t="s">
        <v>1128</v>
      </c>
      <c r="E645" s="7" t="s">
        <v>522</v>
      </c>
      <c r="F645" s="12">
        <v>45335</v>
      </c>
      <c r="G645" s="9">
        <v>553</v>
      </c>
      <c r="H645" s="6">
        <v>2</v>
      </c>
      <c r="I645" s="9">
        <v>276.5</v>
      </c>
    </row>
    <row r="646" spans="1:9" ht="14.25">
      <c r="A646" s="6">
        <v>642</v>
      </c>
      <c r="B646" s="7" t="s">
        <v>16</v>
      </c>
      <c r="C646" s="6" t="s">
        <v>520</v>
      </c>
      <c r="D646" s="7" t="s">
        <v>1129</v>
      </c>
      <c r="E646" s="7" t="s">
        <v>522</v>
      </c>
      <c r="F646" s="12">
        <v>45625</v>
      </c>
      <c r="G646" s="9">
        <v>1391.6</v>
      </c>
      <c r="H646" s="6">
        <v>1</v>
      </c>
      <c r="I646" s="9">
        <v>1391.6</v>
      </c>
    </row>
    <row r="647" spans="1:9" ht="14.25">
      <c r="A647" s="6">
        <v>643</v>
      </c>
      <c r="B647" s="7" t="s">
        <v>16</v>
      </c>
      <c r="C647" s="6" t="s">
        <v>520</v>
      </c>
      <c r="D647" s="7" t="s">
        <v>1130</v>
      </c>
      <c r="E647" s="7" t="s">
        <v>522</v>
      </c>
      <c r="F647" s="12">
        <v>45497</v>
      </c>
      <c r="G647" s="9">
        <v>41410</v>
      </c>
      <c r="H647" s="6">
        <v>1</v>
      </c>
      <c r="I647" s="9">
        <v>41410</v>
      </c>
    </row>
    <row r="648" spans="1:9" ht="14.25">
      <c r="A648" s="6">
        <v>644</v>
      </c>
      <c r="B648" s="7" t="s">
        <v>259</v>
      </c>
      <c r="C648" s="6" t="s">
        <v>520</v>
      </c>
      <c r="D648" s="7" t="s">
        <v>1131</v>
      </c>
      <c r="E648" s="7" t="s">
        <v>522</v>
      </c>
      <c r="F648" s="12">
        <v>44477</v>
      </c>
      <c r="G648" s="9">
        <v>22</v>
      </c>
      <c r="H648" s="6">
        <v>1</v>
      </c>
      <c r="I648" s="9">
        <v>22</v>
      </c>
    </row>
    <row r="649" spans="1:9" ht="14.25">
      <c r="A649" s="6">
        <v>645</v>
      </c>
      <c r="B649" s="7" t="s">
        <v>259</v>
      </c>
      <c r="C649" s="6" t="s">
        <v>520</v>
      </c>
      <c r="D649" s="7" t="s">
        <v>1132</v>
      </c>
      <c r="E649" s="7" t="s">
        <v>522</v>
      </c>
      <c r="F649" s="12">
        <v>44440</v>
      </c>
      <c r="G649" s="9">
        <v>103.1</v>
      </c>
      <c r="H649" s="6">
        <v>1</v>
      </c>
      <c r="I649" s="9">
        <v>103.1</v>
      </c>
    </row>
    <row r="650" spans="1:9" ht="14.25">
      <c r="A650" s="6">
        <v>646</v>
      </c>
      <c r="B650" s="7" t="s">
        <v>259</v>
      </c>
      <c r="C650" s="6" t="s">
        <v>520</v>
      </c>
      <c r="D650" s="7" t="s">
        <v>1133</v>
      </c>
      <c r="E650" s="7" t="s">
        <v>522</v>
      </c>
      <c r="F650" s="12">
        <v>44477</v>
      </c>
      <c r="G650" s="9">
        <v>166</v>
      </c>
      <c r="H650" s="6">
        <v>1</v>
      </c>
      <c r="I650" s="9">
        <v>166</v>
      </c>
    </row>
    <row r="651" spans="1:9" ht="14.25">
      <c r="A651" s="6">
        <v>647</v>
      </c>
      <c r="B651" s="7" t="s">
        <v>259</v>
      </c>
      <c r="C651" s="6" t="s">
        <v>520</v>
      </c>
      <c r="D651" s="7" t="s">
        <v>1134</v>
      </c>
      <c r="E651" s="7" t="s">
        <v>522</v>
      </c>
      <c r="F651" s="12">
        <v>44315</v>
      </c>
      <c r="G651" s="9">
        <v>40.4</v>
      </c>
      <c r="H651" s="6">
        <v>1</v>
      </c>
      <c r="I651" s="9">
        <v>40.4</v>
      </c>
    </row>
    <row r="652" spans="1:9" ht="14.25">
      <c r="A652" s="6">
        <v>648</v>
      </c>
      <c r="B652" s="7" t="s">
        <v>259</v>
      </c>
      <c r="C652" s="6" t="s">
        <v>520</v>
      </c>
      <c r="D652" s="7" t="s">
        <v>1135</v>
      </c>
      <c r="E652" s="7" t="s">
        <v>522</v>
      </c>
      <c r="F652" s="12">
        <v>44342</v>
      </c>
      <c r="G652" s="9">
        <v>131</v>
      </c>
      <c r="H652" s="6">
        <v>1</v>
      </c>
      <c r="I652" s="9">
        <v>131</v>
      </c>
    </row>
    <row r="653" spans="1:9" ht="14.25">
      <c r="A653" s="6">
        <v>649</v>
      </c>
      <c r="B653" s="7" t="s">
        <v>259</v>
      </c>
      <c r="C653" s="6" t="s">
        <v>520</v>
      </c>
      <c r="D653" s="7" t="s">
        <v>1136</v>
      </c>
      <c r="E653" s="7" t="s">
        <v>522</v>
      </c>
      <c r="F653" s="12">
        <v>44477</v>
      </c>
      <c r="G653" s="9">
        <v>801</v>
      </c>
      <c r="H653" s="6">
        <v>1</v>
      </c>
      <c r="I653" s="9">
        <v>801</v>
      </c>
    </row>
    <row r="654" spans="1:9" ht="14.25">
      <c r="A654" s="6">
        <v>650</v>
      </c>
      <c r="B654" s="7" t="s">
        <v>259</v>
      </c>
      <c r="C654" s="6" t="s">
        <v>520</v>
      </c>
      <c r="D654" s="7" t="s">
        <v>1137</v>
      </c>
      <c r="E654" s="7" t="s">
        <v>522</v>
      </c>
      <c r="F654" s="12">
        <v>44349</v>
      </c>
      <c r="G654" s="9">
        <v>20.100000000000001</v>
      </c>
      <c r="H654" s="6">
        <v>1</v>
      </c>
      <c r="I654" s="9">
        <v>20.100000000000001</v>
      </c>
    </row>
    <row r="655" spans="1:9" ht="14.25">
      <c r="A655" s="6">
        <v>651</v>
      </c>
      <c r="B655" s="7" t="s">
        <v>259</v>
      </c>
      <c r="C655" s="6" t="s">
        <v>520</v>
      </c>
      <c r="D655" s="7" t="s">
        <v>1138</v>
      </c>
      <c r="E655" s="7" t="s">
        <v>522</v>
      </c>
      <c r="F655" s="12">
        <v>44351</v>
      </c>
      <c r="G655" s="9">
        <v>1610</v>
      </c>
      <c r="H655" s="6">
        <v>2</v>
      </c>
      <c r="I655" s="9">
        <v>805</v>
      </c>
    </row>
    <row r="656" spans="1:9" ht="14.25">
      <c r="A656" s="6">
        <v>652</v>
      </c>
      <c r="B656" s="7" t="s">
        <v>259</v>
      </c>
      <c r="C656" s="6" t="s">
        <v>520</v>
      </c>
      <c r="D656" s="7" t="s">
        <v>1139</v>
      </c>
      <c r="E656" s="7" t="s">
        <v>522</v>
      </c>
      <c r="F656" s="12">
        <v>44398</v>
      </c>
      <c r="G656" s="9">
        <v>1055</v>
      </c>
      <c r="H656" s="6">
        <v>2</v>
      </c>
      <c r="I656" s="9">
        <v>527.5</v>
      </c>
    </row>
    <row r="657" spans="1:9" ht="14.25">
      <c r="A657" s="6">
        <v>653</v>
      </c>
      <c r="B657" s="7" t="s">
        <v>259</v>
      </c>
      <c r="C657" s="6" t="s">
        <v>536</v>
      </c>
      <c r="D657" s="7" t="s">
        <v>895</v>
      </c>
      <c r="E657" s="7" t="s">
        <v>522</v>
      </c>
      <c r="F657" s="12">
        <v>45134</v>
      </c>
      <c r="G657" s="9">
        <v>252</v>
      </c>
      <c r="H657" s="6">
        <v>2</v>
      </c>
      <c r="I657" s="9">
        <v>126</v>
      </c>
    </row>
    <row r="658" spans="1:9" ht="14.25">
      <c r="A658" s="6">
        <v>654</v>
      </c>
      <c r="B658" s="7" t="s">
        <v>259</v>
      </c>
      <c r="C658" s="6" t="s">
        <v>520</v>
      </c>
      <c r="D658" s="7" t="s">
        <v>1140</v>
      </c>
      <c r="E658" s="7" t="s">
        <v>522</v>
      </c>
      <c r="F658" s="12">
        <v>45243</v>
      </c>
      <c r="G658" s="9">
        <v>2.1</v>
      </c>
      <c r="H658" s="6">
        <v>1</v>
      </c>
      <c r="I658" s="9">
        <v>2.1</v>
      </c>
    </row>
    <row r="659" spans="1:9" ht="14.25">
      <c r="A659" s="6">
        <v>655</v>
      </c>
      <c r="B659" s="7" t="s">
        <v>259</v>
      </c>
      <c r="C659" s="6" t="s">
        <v>520</v>
      </c>
      <c r="D659" s="7" t="s">
        <v>1141</v>
      </c>
      <c r="E659" s="7" t="s">
        <v>522</v>
      </c>
      <c r="F659" s="12">
        <v>44942</v>
      </c>
      <c r="G659" s="9">
        <v>740</v>
      </c>
      <c r="H659" s="6">
        <v>1</v>
      </c>
      <c r="I659" s="9">
        <v>740</v>
      </c>
    </row>
    <row r="660" spans="1:9" ht="14.25">
      <c r="A660" s="6">
        <v>656</v>
      </c>
      <c r="B660" s="7" t="s">
        <v>510</v>
      </c>
      <c r="C660" s="6" t="s">
        <v>520</v>
      </c>
      <c r="D660" s="7" t="s">
        <v>1142</v>
      </c>
      <c r="E660" s="7" t="s">
        <v>522</v>
      </c>
      <c r="F660" s="12">
        <v>45329</v>
      </c>
      <c r="G660" s="9">
        <v>2.1</v>
      </c>
      <c r="H660" s="6">
        <v>1</v>
      </c>
      <c r="I660" s="9">
        <v>2.1</v>
      </c>
    </row>
    <row r="661" spans="1:9" ht="14.25">
      <c r="A661" s="6">
        <v>657</v>
      </c>
      <c r="B661" s="7" t="s">
        <v>239</v>
      </c>
      <c r="C661" s="6" t="s">
        <v>536</v>
      </c>
      <c r="D661" s="7" t="s">
        <v>1107</v>
      </c>
      <c r="E661" s="7" t="s">
        <v>522</v>
      </c>
      <c r="F661" s="12">
        <v>44897</v>
      </c>
      <c r="G661" s="9">
        <v>1912.8</v>
      </c>
      <c r="H661" s="6">
        <v>2</v>
      </c>
      <c r="I661" s="9">
        <v>956.4</v>
      </c>
    </row>
    <row r="662" spans="1:9" ht="14.25">
      <c r="A662" s="6">
        <v>658</v>
      </c>
      <c r="B662" s="7" t="s">
        <v>239</v>
      </c>
      <c r="C662" s="6" t="s">
        <v>536</v>
      </c>
      <c r="D662" s="7" t="s">
        <v>1143</v>
      </c>
      <c r="E662" s="7" t="s">
        <v>522</v>
      </c>
      <c r="F662" s="12">
        <v>44726</v>
      </c>
      <c r="G662" s="9">
        <v>605</v>
      </c>
      <c r="H662" s="6">
        <v>2</v>
      </c>
      <c r="I662" s="9">
        <v>302.5</v>
      </c>
    </row>
    <row r="663" spans="1:9" ht="14.25">
      <c r="A663" s="6">
        <v>659</v>
      </c>
      <c r="B663" s="7" t="s">
        <v>239</v>
      </c>
      <c r="C663" s="6" t="s">
        <v>536</v>
      </c>
      <c r="D663" s="7" t="s">
        <v>1144</v>
      </c>
      <c r="E663" s="7" t="s">
        <v>522</v>
      </c>
      <c r="F663" s="12">
        <v>44579</v>
      </c>
      <c r="G663" s="9">
        <v>1400</v>
      </c>
      <c r="H663" s="6">
        <v>2</v>
      </c>
      <c r="I663" s="9">
        <v>700</v>
      </c>
    </row>
    <row r="664" spans="1:9" ht="14.25">
      <c r="A664" s="6">
        <v>660</v>
      </c>
      <c r="B664" s="7" t="s">
        <v>24</v>
      </c>
      <c r="C664" s="6" t="s">
        <v>520</v>
      </c>
      <c r="D664" s="7" t="s">
        <v>1145</v>
      </c>
      <c r="E664" s="7" t="s">
        <v>544</v>
      </c>
      <c r="F664" s="12">
        <v>40718</v>
      </c>
      <c r="G664" s="9">
        <v>14000</v>
      </c>
      <c r="H664" s="6">
        <v>1</v>
      </c>
      <c r="I664" s="9">
        <v>14000</v>
      </c>
    </row>
    <row r="665" spans="1:9" ht="14.25">
      <c r="A665" s="6">
        <v>661</v>
      </c>
      <c r="B665" s="7" t="s">
        <v>24</v>
      </c>
      <c r="C665" s="6" t="s">
        <v>520</v>
      </c>
      <c r="D665" s="7" t="s">
        <v>1146</v>
      </c>
      <c r="E665" s="7" t="s">
        <v>544</v>
      </c>
      <c r="F665" s="12">
        <v>42552</v>
      </c>
      <c r="G665" s="9">
        <v>1150</v>
      </c>
      <c r="H665" s="6">
        <v>1</v>
      </c>
      <c r="I665" s="9">
        <v>1150</v>
      </c>
    </row>
    <row r="666" spans="1:9" ht="14.25">
      <c r="A666" s="6">
        <v>662</v>
      </c>
      <c r="B666" s="7" t="s">
        <v>24</v>
      </c>
      <c r="C666" s="6" t="s">
        <v>520</v>
      </c>
      <c r="D666" s="7" t="s">
        <v>1147</v>
      </c>
      <c r="E666" s="7" t="s">
        <v>544</v>
      </c>
      <c r="F666" s="12">
        <v>42983</v>
      </c>
      <c r="G666" s="9">
        <v>3446.8</v>
      </c>
      <c r="H666" s="6">
        <v>1</v>
      </c>
      <c r="I666" s="9">
        <v>3446.8</v>
      </c>
    </row>
    <row r="667" spans="1:9" ht="14.25">
      <c r="A667" s="6">
        <v>663</v>
      </c>
      <c r="B667" s="7" t="s">
        <v>24</v>
      </c>
      <c r="C667" s="6" t="s">
        <v>520</v>
      </c>
      <c r="D667" s="7" t="s">
        <v>1148</v>
      </c>
      <c r="E667" s="7" t="s">
        <v>522</v>
      </c>
      <c r="F667" s="12">
        <v>42772</v>
      </c>
      <c r="G667" s="9">
        <v>400</v>
      </c>
      <c r="H667" s="6">
        <v>2</v>
      </c>
      <c r="I667" s="9">
        <v>200</v>
      </c>
    </row>
    <row r="668" spans="1:9" ht="14.25">
      <c r="A668" s="6">
        <v>664</v>
      </c>
      <c r="B668" s="7" t="s">
        <v>24</v>
      </c>
      <c r="C668" s="6" t="s">
        <v>520</v>
      </c>
      <c r="D668" s="7" t="s">
        <v>1149</v>
      </c>
      <c r="E668" s="7" t="s">
        <v>544</v>
      </c>
      <c r="F668" s="12">
        <v>43178</v>
      </c>
      <c r="G668" s="9">
        <v>3300</v>
      </c>
      <c r="H668" s="6">
        <v>1</v>
      </c>
      <c r="I668" s="9">
        <v>3300</v>
      </c>
    </row>
    <row r="669" spans="1:9" ht="14.25">
      <c r="A669" s="6">
        <v>665</v>
      </c>
      <c r="B669" s="7" t="s">
        <v>24</v>
      </c>
      <c r="C669" s="6" t="s">
        <v>520</v>
      </c>
      <c r="D669" s="7" t="s">
        <v>1150</v>
      </c>
      <c r="E669" s="7" t="s">
        <v>544</v>
      </c>
      <c r="F669" s="12">
        <v>43304</v>
      </c>
      <c r="G669" s="9">
        <v>1030</v>
      </c>
      <c r="H669" s="6">
        <v>1</v>
      </c>
      <c r="I669" s="9">
        <v>1030</v>
      </c>
    </row>
    <row r="670" spans="1:9" ht="14.25">
      <c r="A670" s="6">
        <v>666</v>
      </c>
      <c r="B670" s="7" t="s">
        <v>24</v>
      </c>
      <c r="C670" s="6" t="s">
        <v>520</v>
      </c>
      <c r="D670" s="7" t="s">
        <v>1151</v>
      </c>
      <c r="E670" s="7" t="s">
        <v>544</v>
      </c>
      <c r="F670" s="12">
        <v>43671</v>
      </c>
      <c r="G670" s="9">
        <v>104</v>
      </c>
      <c r="H670" s="6">
        <v>1</v>
      </c>
      <c r="I670" s="9">
        <v>104</v>
      </c>
    </row>
    <row r="671" spans="1:9" ht="14.25">
      <c r="A671" s="6">
        <v>667</v>
      </c>
      <c r="B671" s="7" t="s">
        <v>24</v>
      </c>
      <c r="C671" s="6" t="s">
        <v>520</v>
      </c>
      <c r="D671" s="7" t="s">
        <v>1152</v>
      </c>
      <c r="E671" s="7" t="s">
        <v>544</v>
      </c>
      <c r="F671" s="12">
        <v>43740</v>
      </c>
      <c r="G671" s="9">
        <v>1000</v>
      </c>
      <c r="H671" s="6">
        <v>1</v>
      </c>
      <c r="I671" s="9">
        <v>1000</v>
      </c>
    </row>
    <row r="672" spans="1:9" ht="14.25">
      <c r="A672" s="6">
        <v>668</v>
      </c>
      <c r="B672" s="7" t="s">
        <v>24</v>
      </c>
      <c r="C672" s="6" t="s">
        <v>520</v>
      </c>
      <c r="D672" s="7" t="s">
        <v>1153</v>
      </c>
      <c r="E672" s="7" t="s">
        <v>544</v>
      </c>
      <c r="F672" s="12">
        <v>43784</v>
      </c>
      <c r="G672" s="9">
        <v>900</v>
      </c>
      <c r="H672" s="6">
        <v>2</v>
      </c>
      <c r="I672" s="9">
        <v>450</v>
      </c>
    </row>
    <row r="673" spans="1:9" ht="14.25">
      <c r="A673" s="6">
        <v>669</v>
      </c>
      <c r="B673" s="7" t="s">
        <v>24</v>
      </c>
      <c r="C673" s="6" t="s">
        <v>520</v>
      </c>
      <c r="D673" s="7" t="s">
        <v>1154</v>
      </c>
      <c r="E673" s="7" t="s">
        <v>544</v>
      </c>
      <c r="F673" s="12">
        <v>43930</v>
      </c>
      <c r="G673" s="9">
        <v>750</v>
      </c>
      <c r="H673" s="6">
        <v>1</v>
      </c>
      <c r="I673" s="9">
        <v>750</v>
      </c>
    </row>
    <row r="674" spans="1:9" ht="14.25">
      <c r="A674" s="6">
        <v>670</v>
      </c>
      <c r="B674" s="7" t="s">
        <v>24</v>
      </c>
      <c r="C674" s="6" t="s">
        <v>520</v>
      </c>
      <c r="D674" s="7" t="s">
        <v>1155</v>
      </c>
      <c r="E674" s="7" t="s">
        <v>544</v>
      </c>
      <c r="F674" s="12">
        <v>44375</v>
      </c>
      <c r="G674" s="9">
        <v>1130</v>
      </c>
      <c r="H674" s="6">
        <v>1</v>
      </c>
      <c r="I674" s="9">
        <v>1130</v>
      </c>
    </row>
    <row r="675" spans="1:9" ht="14.25">
      <c r="A675" s="6">
        <v>671</v>
      </c>
      <c r="B675" s="7" t="s">
        <v>24</v>
      </c>
      <c r="C675" s="6" t="s">
        <v>520</v>
      </c>
      <c r="D675" s="7" t="s">
        <v>903</v>
      </c>
      <c r="E675" s="7" t="s">
        <v>544</v>
      </c>
      <c r="F675" s="12">
        <v>44249</v>
      </c>
      <c r="G675" s="9">
        <v>2000</v>
      </c>
      <c r="H675" s="6">
        <v>2</v>
      </c>
      <c r="I675" s="9">
        <v>1000</v>
      </c>
    </row>
    <row r="676" spans="1:9" ht="14.25">
      <c r="A676" s="6">
        <v>672</v>
      </c>
      <c r="B676" s="7" t="s">
        <v>24</v>
      </c>
      <c r="C676" s="6" t="s">
        <v>520</v>
      </c>
      <c r="D676" s="7" t="s">
        <v>1156</v>
      </c>
      <c r="E676" s="7" t="s">
        <v>544</v>
      </c>
      <c r="F676" s="12">
        <v>44879</v>
      </c>
      <c r="G676" s="9">
        <v>750</v>
      </c>
      <c r="H676" s="6">
        <v>1</v>
      </c>
      <c r="I676" s="9">
        <v>750</v>
      </c>
    </row>
    <row r="677" spans="1:9" ht="14.25">
      <c r="A677" s="6">
        <v>673</v>
      </c>
      <c r="B677" s="7" t="s">
        <v>24</v>
      </c>
      <c r="C677" s="6" t="s">
        <v>520</v>
      </c>
      <c r="D677" s="7" t="s">
        <v>1157</v>
      </c>
      <c r="E677" s="7" t="s">
        <v>522</v>
      </c>
      <c r="F677" s="12">
        <v>45160</v>
      </c>
      <c r="G677" s="9">
        <v>913</v>
      </c>
      <c r="H677" s="6">
        <v>3</v>
      </c>
      <c r="I677" s="9">
        <v>304.3</v>
      </c>
    </row>
    <row r="678" spans="1:9" ht="14.25">
      <c r="A678" s="6">
        <v>674</v>
      </c>
      <c r="B678" s="7" t="s">
        <v>24</v>
      </c>
      <c r="C678" s="6" t="s">
        <v>520</v>
      </c>
      <c r="D678" s="7" t="s">
        <v>543</v>
      </c>
      <c r="E678" s="7" t="s">
        <v>544</v>
      </c>
      <c r="F678" s="12">
        <v>45128</v>
      </c>
      <c r="G678" s="9">
        <v>430</v>
      </c>
      <c r="H678" s="6">
        <v>2</v>
      </c>
      <c r="I678" s="9">
        <v>215</v>
      </c>
    </row>
    <row r="679" spans="1:9" ht="14.25">
      <c r="A679" s="6">
        <v>675</v>
      </c>
      <c r="B679" s="7" t="s">
        <v>24</v>
      </c>
      <c r="C679" s="6" t="s">
        <v>520</v>
      </c>
      <c r="D679" s="7" t="s">
        <v>1158</v>
      </c>
      <c r="E679" s="7" t="s">
        <v>544</v>
      </c>
      <c r="F679" s="12">
        <v>44967</v>
      </c>
      <c r="G679" s="9">
        <v>405</v>
      </c>
      <c r="H679" s="6">
        <v>1</v>
      </c>
      <c r="I679" s="9">
        <v>405</v>
      </c>
    </row>
    <row r="680" spans="1:9" ht="14.25">
      <c r="A680" s="6">
        <v>676</v>
      </c>
      <c r="B680" s="7" t="s">
        <v>24</v>
      </c>
      <c r="C680" s="6" t="s">
        <v>520</v>
      </c>
      <c r="D680" s="7" t="s">
        <v>1159</v>
      </c>
      <c r="E680" s="7" t="s">
        <v>544</v>
      </c>
      <c r="F680" s="12">
        <v>44970</v>
      </c>
      <c r="G680" s="9">
        <v>3000</v>
      </c>
      <c r="H680" s="6">
        <v>1</v>
      </c>
      <c r="I680" s="9">
        <v>3000</v>
      </c>
    </row>
    <row r="681" spans="1:9" ht="14.25">
      <c r="A681" s="6">
        <v>677</v>
      </c>
      <c r="B681" s="7" t="s">
        <v>24</v>
      </c>
      <c r="C681" s="6" t="s">
        <v>536</v>
      </c>
      <c r="D681" s="7" t="s">
        <v>1160</v>
      </c>
      <c r="E681" s="7" t="s">
        <v>522</v>
      </c>
      <c r="F681" s="12">
        <v>45205</v>
      </c>
      <c r="G681" s="9">
        <v>1290</v>
      </c>
      <c r="H681" s="6">
        <v>2</v>
      </c>
      <c r="I681" s="9">
        <v>645</v>
      </c>
    </row>
    <row r="682" spans="1:9" ht="14.25">
      <c r="A682" s="6">
        <v>678</v>
      </c>
      <c r="B682" s="7" t="s">
        <v>24</v>
      </c>
      <c r="C682" s="6" t="s">
        <v>520</v>
      </c>
      <c r="D682" s="7" t="s">
        <v>578</v>
      </c>
      <c r="E682" s="7" t="s">
        <v>522</v>
      </c>
      <c r="F682" s="12">
        <v>45527</v>
      </c>
      <c r="G682" s="9">
        <v>232</v>
      </c>
      <c r="H682" s="6">
        <v>2</v>
      </c>
      <c r="I682" s="9">
        <v>116</v>
      </c>
    </row>
    <row r="683" spans="1:9" ht="14.25">
      <c r="A683" s="6">
        <v>679</v>
      </c>
      <c r="B683" s="7" t="s">
        <v>24</v>
      </c>
      <c r="C683" s="6" t="s">
        <v>520</v>
      </c>
      <c r="D683" s="7" t="s">
        <v>1161</v>
      </c>
      <c r="E683" s="7" t="s">
        <v>544</v>
      </c>
      <c r="F683" s="12">
        <v>45455</v>
      </c>
      <c r="G683" s="9">
        <v>380</v>
      </c>
      <c r="H683" s="6">
        <v>1</v>
      </c>
      <c r="I683" s="9">
        <v>380</v>
      </c>
    </row>
    <row r="684" spans="1:9" ht="14.25">
      <c r="A684" s="6">
        <v>680</v>
      </c>
      <c r="B684" s="7" t="s">
        <v>24</v>
      </c>
      <c r="C684" s="6" t="s">
        <v>520</v>
      </c>
      <c r="D684" s="7" t="s">
        <v>1162</v>
      </c>
      <c r="E684" s="7" t="s">
        <v>522</v>
      </c>
      <c r="F684" s="12">
        <v>45656</v>
      </c>
      <c r="G684" s="9">
        <v>2500</v>
      </c>
      <c r="H684" s="6">
        <v>1</v>
      </c>
      <c r="I684" s="9">
        <v>2500</v>
      </c>
    </row>
    <row r="685" spans="1:9" ht="14.25">
      <c r="A685" s="6">
        <v>681</v>
      </c>
      <c r="B685" s="7" t="s">
        <v>24</v>
      </c>
      <c r="C685" s="6" t="s">
        <v>520</v>
      </c>
      <c r="D685" s="7" t="s">
        <v>1163</v>
      </c>
      <c r="E685" s="7" t="s">
        <v>522</v>
      </c>
      <c r="F685" s="12">
        <v>45303</v>
      </c>
      <c r="G685" s="9">
        <v>1500</v>
      </c>
      <c r="H685" s="6">
        <v>1</v>
      </c>
      <c r="I685" s="9">
        <v>1500</v>
      </c>
    </row>
    <row r="686" spans="1:9" ht="14.25">
      <c r="A686" s="6">
        <v>682</v>
      </c>
      <c r="B686" s="7" t="s">
        <v>24</v>
      </c>
      <c r="C686" s="6" t="s">
        <v>520</v>
      </c>
      <c r="D686" s="7" t="s">
        <v>1164</v>
      </c>
      <c r="E686" s="7" t="s">
        <v>522</v>
      </c>
      <c r="F686" s="12">
        <v>45565</v>
      </c>
      <c r="G686" s="9">
        <v>5000</v>
      </c>
      <c r="H686" s="6">
        <v>1</v>
      </c>
      <c r="I686" s="9">
        <v>5000</v>
      </c>
    </row>
    <row r="687" spans="1:9" ht="14.25">
      <c r="A687" s="6">
        <v>683</v>
      </c>
      <c r="B687" s="7" t="s">
        <v>24</v>
      </c>
      <c r="C687" s="6" t="s">
        <v>520</v>
      </c>
      <c r="D687" s="7" t="s">
        <v>1165</v>
      </c>
      <c r="E687" s="7" t="s">
        <v>522</v>
      </c>
      <c r="F687" s="12">
        <v>45520</v>
      </c>
      <c r="G687" s="9">
        <v>420</v>
      </c>
      <c r="H687" s="6">
        <v>2</v>
      </c>
      <c r="I687" s="9">
        <v>210</v>
      </c>
    </row>
    <row r="688" spans="1:9" ht="14.25">
      <c r="A688" s="6">
        <v>684</v>
      </c>
      <c r="B688" s="7" t="s">
        <v>380</v>
      </c>
      <c r="C688" s="6" t="s">
        <v>536</v>
      </c>
      <c r="D688" s="7" t="s">
        <v>816</v>
      </c>
      <c r="E688" s="7" t="s">
        <v>522</v>
      </c>
      <c r="F688" s="12">
        <v>43808</v>
      </c>
      <c r="G688" s="9">
        <v>550</v>
      </c>
      <c r="H688" s="6">
        <v>2</v>
      </c>
      <c r="I688" s="9">
        <v>275</v>
      </c>
    </row>
    <row r="689" spans="1:9" ht="14.25">
      <c r="A689" s="6">
        <v>685</v>
      </c>
      <c r="B689" s="7" t="s">
        <v>380</v>
      </c>
      <c r="C689" s="6" t="s">
        <v>520</v>
      </c>
      <c r="D689" s="7" t="s">
        <v>1018</v>
      </c>
      <c r="E689" s="7" t="s">
        <v>522</v>
      </c>
      <c r="F689" s="12">
        <v>44383</v>
      </c>
      <c r="G689" s="9">
        <v>113</v>
      </c>
      <c r="H689" s="6">
        <v>2</v>
      </c>
      <c r="I689" s="9">
        <v>56.5</v>
      </c>
    </row>
    <row r="690" spans="1:9" ht="14.25">
      <c r="A690" s="6">
        <v>686</v>
      </c>
      <c r="B690" s="7" t="s">
        <v>380</v>
      </c>
      <c r="C690" s="6" t="s">
        <v>520</v>
      </c>
      <c r="D690" s="7" t="s">
        <v>1166</v>
      </c>
      <c r="E690" s="7" t="s">
        <v>522</v>
      </c>
      <c r="F690" s="12">
        <v>45223</v>
      </c>
      <c r="G690" s="9">
        <v>195</v>
      </c>
      <c r="H690" s="6">
        <v>2</v>
      </c>
      <c r="I690" s="9">
        <v>97.5</v>
      </c>
    </row>
    <row r="691" spans="1:9" ht="14.25">
      <c r="A691" s="6">
        <v>687</v>
      </c>
      <c r="B691" s="7" t="s">
        <v>380</v>
      </c>
      <c r="C691" s="6" t="s">
        <v>520</v>
      </c>
      <c r="D691" s="7" t="s">
        <v>1167</v>
      </c>
      <c r="E691" s="7" t="s">
        <v>522</v>
      </c>
      <c r="F691" s="12">
        <v>45338</v>
      </c>
      <c r="G691" s="9">
        <v>32.700000000000003</v>
      </c>
      <c r="H691" s="6">
        <v>1</v>
      </c>
      <c r="I691" s="9">
        <v>32.700000000000003</v>
      </c>
    </row>
    <row r="692" spans="1:9" ht="14.25">
      <c r="A692" s="6">
        <v>688</v>
      </c>
      <c r="B692" s="7" t="s">
        <v>380</v>
      </c>
      <c r="C692" s="6" t="s">
        <v>520</v>
      </c>
      <c r="D692" s="7" t="s">
        <v>1168</v>
      </c>
      <c r="E692" s="7" t="s">
        <v>522</v>
      </c>
      <c r="F692" s="12">
        <v>45610</v>
      </c>
      <c r="G692" s="9">
        <v>40</v>
      </c>
      <c r="H692" s="6">
        <v>1</v>
      </c>
      <c r="I692" s="9">
        <v>40</v>
      </c>
    </row>
    <row r="693" spans="1:9" ht="14.25">
      <c r="A693" s="6">
        <v>689</v>
      </c>
      <c r="B693" s="7" t="s">
        <v>412</v>
      </c>
      <c r="C693" s="6" t="s">
        <v>520</v>
      </c>
      <c r="D693" s="7" t="s">
        <v>1169</v>
      </c>
      <c r="E693" s="7" t="s">
        <v>522</v>
      </c>
      <c r="F693" s="12">
        <v>45238</v>
      </c>
      <c r="G693" s="9">
        <v>202</v>
      </c>
      <c r="H693" s="6">
        <v>1</v>
      </c>
      <c r="I693" s="9">
        <v>202</v>
      </c>
    </row>
    <row r="694" spans="1:9" ht="14.25">
      <c r="A694" s="6">
        <v>690</v>
      </c>
      <c r="B694" s="7" t="s">
        <v>327</v>
      </c>
      <c r="C694" s="6" t="s">
        <v>520</v>
      </c>
      <c r="D694" s="7" t="s">
        <v>1170</v>
      </c>
      <c r="E694" s="7" t="s">
        <v>522</v>
      </c>
      <c r="F694" s="12">
        <v>44454</v>
      </c>
      <c r="G694" s="9">
        <v>516</v>
      </c>
      <c r="H694" s="6">
        <v>1</v>
      </c>
      <c r="I694" s="9">
        <v>516</v>
      </c>
    </row>
    <row r="695" spans="1:9" ht="14.25">
      <c r="A695" s="6">
        <v>691</v>
      </c>
      <c r="B695" s="7" t="s">
        <v>327</v>
      </c>
      <c r="C695" s="6" t="s">
        <v>520</v>
      </c>
      <c r="D695" s="7" t="s">
        <v>1171</v>
      </c>
      <c r="E695" s="7" t="s">
        <v>522</v>
      </c>
      <c r="F695" s="12">
        <v>44851</v>
      </c>
      <c r="G695" s="9">
        <v>501</v>
      </c>
      <c r="H695" s="6">
        <v>1</v>
      </c>
      <c r="I695" s="9">
        <v>501</v>
      </c>
    </row>
    <row r="696" spans="1:9" ht="14.25">
      <c r="A696" s="6">
        <v>692</v>
      </c>
      <c r="B696" s="7" t="s">
        <v>365</v>
      </c>
      <c r="C696" s="6" t="s">
        <v>520</v>
      </c>
      <c r="D696" s="7" t="s">
        <v>1110</v>
      </c>
      <c r="E696" s="7" t="s">
        <v>522</v>
      </c>
      <c r="F696" s="12">
        <v>45526</v>
      </c>
      <c r="G696" s="9">
        <v>640</v>
      </c>
      <c r="H696" s="6">
        <v>2</v>
      </c>
      <c r="I696" s="9">
        <v>320</v>
      </c>
    </row>
    <row r="697" spans="1:9" ht="14.25">
      <c r="A697" s="6">
        <v>693</v>
      </c>
      <c r="B697" s="7" t="s">
        <v>364</v>
      </c>
      <c r="C697" s="6" t="s">
        <v>520</v>
      </c>
      <c r="D697" s="7" t="s">
        <v>1172</v>
      </c>
      <c r="E697" s="7" t="s">
        <v>522</v>
      </c>
      <c r="F697" s="12">
        <v>44707</v>
      </c>
      <c r="G697" s="9">
        <v>107</v>
      </c>
      <c r="H697" s="6">
        <v>1</v>
      </c>
      <c r="I697" s="9">
        <v>107</v>
      </c>
    </row>
    <row r="698" spans="1:9" ht="14.25">
      <c r="A698" s="6">
        <v>694</v>
      </c>
      <c r="B698" s="7" t="s">
        <v>364</v>
      </c>
      <c r="C698" s="6" t="s">
        <v>520</v>
      </c>
      <c r="D698" s="7" t="s">
        <v>1173</v>
      </c>
      <c r="E698" s="7" t="s">
        <v>522</v>
      </c>
      <c r="F698" s="12">
        <v>44810</v>
      </c>
      <c r="G698" s="9">
        <v>321</v>
      </c>
      <c r="H698" s="6">
        <v>1</v>
      </c>
      <c r="I698" s="9">
        <v>321</v>
      </c>
    </row>
    <row r="699" spans="1:9" ht="14.25">
      <c r="A699" s="6">
        <v>695</v>
      </c>
      <c r="B699" s="7" t="s">
        <v>364</v>
      </c>
      <c r="C699" s="6" t="s">
        <v>520</v>
      </c>
      <c r="D699" s="7" t="s">
        <v>1174</v>
      </c>
      <c r="E699" s="7" t="s">
        <v>522</v>
      </c>
      <c r="F699" s="12">
        <v>45293</v>
      </c>
      <c r="G699" s="9">
        <v>57</v>
      </c>
      <c r="H699" s="6">
        <v>1</v>
      </c>
      <c r="I699" s="9">
        <v>57</v>
      </c>
    </row>
    <row r="700" spans="1:9" ht="14.25">
      <c r="A700" s="6">
        <v>696</v>
      </c>
      <c r="B700" s="7" t="s">
        <v>220</v>
      </c>
      <c r="C700" s="6" t="s">
        <v>536</v>
      </c>
      <c r="D700" s="7" t="s">
        <v>1034</v>
      </c>
      <c r="E700" s="7" t="s">
        <v>522</v>
      </c>
      <c r="F700" s="12">
        <v>45063</v>
      </c>
      <c r="G700" s="9">
        <v>2077</v>
      </c>
      <c r="H700" s="6">
        <v>2</v>
      </c>
      <c r="I700" s="9">
        <v>1038.5</v>
      </c>
    </row>
    <row r="701" spans="1:9" ht="14.25">
      <c r="A701" s="6">
        <v>697</v>
      </c>
      <c r="B701" s="7" t="s">
        <v>404</v>
      </c>
      <c r="C701" s="6" t="s">
        <v>520</v>
      </c>
      <c r="D701" s="7" t="s">
        <v>1175</v>
      </c>
      <c r="E701" s="7" t="s">
        <v>522</v>
      </c>
      <c r="F701" s="12">
        <v>44670</v>
      </c>
      <c r="G701" s="9">
        <v>210</v>
      </c>
      <c r="H701" s="6">
        <v>1</v>
      </c>
      <c r="I701" s="9">
        <v>210</v>
      </c>
    </row>
    <row r="702" spans="1:9" ht="14.25">
      <c r="A702" s="6">
        <v>698</v>
      </c>
      <c r="B702" s="7" t="s">
        <v>270</v>
      </c>
      <c r="C702" s="6" t="s">
        <v>520</v>
      </c>
      <c r="D702" s="7" t="s">
        <v>1176</v>
      </c>
      <c r="E702" s="7" t="s">
        <v>522</v>
      </c>
      <c r="F702" s="12">
        <v>43480</v>
      </c>
      <c r="G702" s="9">
        <v>765</v>
      </c>
      <c r="H702" s="6">
        <v>1</v>
      </c>
      <c r="I702" s="9">
        <v>765</v>
      </c>
    </row>
    <row r="703" spans="1:9" ht="14.25">
      <c r="A703" s="6">
        <v>699</v>
      </c>
      <c r="B703" s="7" t="s">
        <v>270</v>
      </c>
      <c r="C703" s="6" t="s">
        <v>520</v>
      </c>
      <c r="D703" s="7" t="s">
        <v>1177</v>
      </c>
      <c r="E703" s="7" t="s">
        <v>522</v>
      </c>
      <c r="F703" s="12">
        <v>44481</v>
      </c>
      <c r="G703" s="9">
        <v>355</v>
      </c>
      <c r="H703" s="6">
        <v>1</v>
      </c>
      <c r="I703" s="9">
        <v>355</v>
      </c>
    </row>
    <row r="704" spans="1:9" ht="14.25">
      <c r="A704" s="6">
        <v>700</v>
      </c>
      <c r="B704" s="7" t="s">
        <v>334</v>
      </c>
      <c r="C704" s="6" t="s">
        <v>520</v>
      </c>
      <c r="D704" s="7" t="s">
        <v>1178</v>
      </c>
      <c r="E704" s="7" t="s">
        <v>522</v>
      </c>
      <c r="F704" s="12">
        <v>44796</v>
      </c>
      <c r="G704" s="9">
        <v>505.3</v>
      </c>
      <c r="H704" s="6">
        <v>1</v>
      </c>
      <c r="I704" s="9">
        <v>505.3</v>
      </c>
    </row>
    <row r="705" spans="1:9" ht="14.25">
      <c r="A705" s="6">
        <v>701</v>
      </c>
      <c r="B705" s="7" t="s">
        <v>334</v>
      </c>
      <c r="C705" s="6" t="s">
        <v>520</v>
      </c>
      <c r="D705" s="7" t="s">
        <v>1179</v>
      </c>
      <c r="E705" s="7" t="s">
        <v>522</v>
      </c>
      <c r="F705" s="12">
        <v>44918</v>
      </c>
      <c r="G705" s="9">
        <v>273</v>
      </c>
      <c r="H705" s="6">
        <v>1</v>
      </c>
      <c r="I705" s="9">
        <v>273</v>
      </c>
    </row>
    <row r="706" spans="1:9" ht="14.25">
      <c r="A706" s="6">
        <v>702</v>
      </c>
      <c r="B706" s="7" t="s">
        <v>334</v>
      </c>
      <c r="C706" s="6" t="s">
        <v>520</v>
      </c>
      <c r="D706" s="7" t="s">
        <v>1180</v>
      </c>
      <c r="E706" s="7" t="s">
        <v>522</v>
      </c>
      <c r="F706" s="12">
        <v>45026</v>
      </c>
      <c r="G706" s="9">
        <v>44</v>
      </c>
      <c r="H706" s="6">
        <v>1</v>
      </c>
      <c r="I706" s="9">
        <v>44</v>
      </c>
    </row>
    <row r="707" spans="1:9" ht="14.25">
      <c r="A707" s="6">
        <v>703</v>
      </c>
      <c r="B707" s="7" t="s">
        <v>457</v>
      </c>
      <c r="C707" s="6" t="s">
        <v>520</v>
      </c>
      <c r="D707" s="7" t="s">
        <v>1181</v>
      </c>
      <c r="E707" s="7" t="s">
        <v>522</v>
      </c>
      <c r="F707" s="12">
        <v>43900</v>
      </c>
      <c r="G707" s="9">
        <v>54.8</v>
      </c>
      <c r="H707" s="6">
        <v>1</v>
      </c>
      <c r="I707" s="9">
        <v>54.8</v>
      </c>
    </row>
    <row r="708" spans="1:9" ht="14.25">
      <c r="A708" s="6">
        <v>704</v>
      </c>
      <c r="B708" s="7" t="s">
        <v>457</v>
      </c>
      <c r="C708" s="6" t="s">
        <v>520</v>
      </c>
      <c r="D708" s="7" t="s">
        <v>1182</v>
      </c>
      <c r="E708" s="7" t="s">
        <v>522</v>
      </c>
      <c r="F708" s="12">
        <v>44525</v>
      </c>
      <c r="G708" s="9">
        <v>105</v>
      </c>
      <c r="H708" s="6">
        <v>1</v>
      </c>
      <c r="I708" s="9">
        <v>105</v>
      </c>
    </row>
    <row r="709" spans="1:9" ht="14.25">
      <c r="A709" s="6">
        <v>705</v>
      </c>
      <c r="B709" s="7" t="s">
        <v>457</v>
      </c>
      <c r="C709" s="6" t="s">
        <v>520</v>
      </c>
      <c r="D709" s="7" t="s">
        <v>537</v>
      </c>
      <c r="E709" s="7" t="s">
        <v>522</v>
      </c>
      <c r="F709" s="12">
        <v>44656</v>
      </c>
      <c r="G709" s="9">
        <v>104</v>
      </c>
      <c r="H709" s="6">
        <v>2</v>
      </c>
      <c r="I709" s="9">
        <v>52</v>
      </c>
    </row>
    <row r="710" spans="1:9" ht="14.25">
      <c r="A710" s="6">
        <v>706</v>
      </c>
      <c r="B710" s="7" t="s">
        <v>457</v>
      </c>
      <c r="C710" s="6" t="s">
        <v>536</v>
      </c>
      <c r="D710" s="7" t="s">
        <v>1183</v>
      </c>
      <c r="E710" s="7" t="s">
        <v>522</v>
      </c>
      <c r="F710" s="12">
        <v>44846</v>
      </c>
      <c r="G710" s="9">
        <v>63</v>
      </c>
      <c r="H710" s="6">
        <v>2</v>
      </c>
      <c r="I710" s="9">
        <v>31.5</v>
      </c>
    </row>
    <row r="711" spans="1:9" ht="14.25">
      <c r="A711" s="6">
        <v>707</v>
      </c>
      <c r="B711" s="7" t="s">
        <v>226</v>
      </c>
      <c r="C711" s="6" t="s">
        <v>536</v>
      </c>
      <c r="D711" s="7" t="s">
        <v>1085</v>
      </c>
      <c r="E711" s="7" t="s">
        <v>544</v>
      </c>
      <c r="F711" s="12">
        <v>43570</v>
      </c>
      <c r="G711" s="9">
        <v>2040</v>
      </c>
      <c r="H711" s="6">
        <v>2</v>
      </c>
      <c r="I711" s="9">
        <v>1020</v>
      </c>
    </row>
    <row r="712" spans="1:9" ht="14.25">
      <c r="A712" s="6">
        <v>708</v>
      </c>
      <c r="B712" s="7" t="s">
        <v>226</v>
      </c>
      <c r="C712" s="6" t="s">
        <v>536</v>
      </c>
      <c r="D712" s="7" t="s">
        <v>1086</v>
      </c>
      <c r="E712" s="7" t="s">
        <v>544</v>
      </c>
      <c r="F712" s="12">
        <v>43783</v>
      </c>
      <c r="G712" s="9">
        <v>1021</v>
      </c>
      <c r="H712" s="6">
        <v>2</v>
      </c>
      <c r="I712" s="9">
        <v>510.5</v>
      </c>
    </row>
    <row r="713" spans="1:9" ht="14.25">
      <c r="A713" s="6">
        <v>709</v>
      </c>
      <c r="B713" s="7" t="s">
        <v>226</v>
      </c>
      <c r="C713" s="6" t="s">
        <v>536</v>
      </c>
      <c r="D713" s="7" t="s">
        <v>1076</v>
      </c>
      <c r="E713" s="7" t="s">
        <v>522</v>
      </c>
      <c r="F713" s="12">
        <v>44704</v>
      </c>
      <c r="G713" s="9">
        <v>203</v>
      </c>
      <c r="H713" s="6">
        <v>2</v>
      </c>
      <c r="I713" s="9">
        <v>101.5</v>
      </c>
    </row>
    <row r="714" spans="1:9" ht="14.25">
      <c r="A714" s="6">
        <v>710</v>
      </c>
      <c r="B714" s="7" t="s">
        <v>226</v>
      </c>
      <c r="C714" s="6" t="s">
        <v>536</v>
      </c>
      <c r="D714" s="7" t="s">
        <v>1087</v>
      </c>
      <c r="E714" s="7" t="s">
        <v>544</v>
      </c>
      <c r="F714" s="12">
        <v>44637</v>
      </c>
      <c r="G714" s="9">
        <v>1340</v>
      </c>
      <c r="H714" s="6">
        <v>2</v>
      </c>
      <c r="I714" s="9">
        <v>670</v>
      </c>
    </row>
    <row r="715" spans="1:9" ht="14.25">
      <c r="A715" s="6">
        <v>711</v>
      </c>
      <c r="B715" s="7" t="s">
        <v>385</v>
      </c>
      <c r="C715" s="6" t="s">
        <v>520</v>
      </c>
      <c r="D715" s="7" t="s">
        <v>1184</v>
      </c>
      <c r="E715" s="7" t="s">
        <v>522</v>
      </c>
      <c r="F715" s="12">
        <v>45071</v>
      </c>
      <c r="G715" s="9">
        <v>257.89999999999998</v>
      </c>
      <c r="H715" s="6">
        <v>1</v>
      </c>
      <c r="I715" s="9">
        <v>257.89999999999998</v>
      </c>
    </row>
    <row r="716" spans="1:9" ht="14.25">
      <c r="A716" s="6">
        <v>712</v>
      </c>
      <c r="B716" s="7" t="s">
        <v>485</v>
      </c>
      <c r="C716" s="6" t="s">
        <v>520</v>
      </c>
      <c r="D716" s="7" t="s">
        <v>638</v>
      </c>
      <c r="E716" s="7" t="s">
        <v>528</v>
      </c>
      <c r="F716" s="12">
        <v>44447</v>
      </c>
      <c r="G716" s="9">
        <v>120</v>
      </c>
      <c r="H716" s="6">
        <v>2</v>
      </c>
      <c r="I716" s="9">
        <v>60</v>
      </c>
    </row>
    <row r="717" spans="1:9" ht="14.25">
      <c r="A717" s="6">
        <v>713</v>
      </c>
      <c r="B717" s="7" t="s">
        <v>469</v>
      </c>
      <c r="C717" s="6" t="s">
        <v>520</v>
      </c>
      <c r="D717" s="7" t="s">
        <v>1185</v>
      </c>
      <c r="E717" s="7" t="s">
        <v>528</v>
      </c>
      <c r="F717" s="12">
        <v>43676</v>
      </c>
      <c r="G717" s="9">
        <v>57.5</v>
      </c>
      <c r="H717" s="6">
        <v>1</v>
      </c>
      <c r="I717" s="9">
        <v>57.5</v>
      </c>
    </row>
    <row r="718" spans="1:9" ht="14.25">
      <c r="A718" s="6">
        <v>714</v>
      </c>
      <c r="B718" s="7" t="s">
        <v>469</v>
      </c>
      <c r="C718" s="6" t="s">
        <v>520</v>
      </c>
      <c r="D718" s="7" t="s">
        <v>1186</v>
      </c>
      <c r="E718" s="7" t="s">
        <v>528</v>
      </c>
      <c r="F718" s="12">
        <v>43685</v>
      </c>
      <c r="G718" s="9">
        <v>10.5</v>
      </c>
      <c r="H718" s="6">
        <v>1</v>
      </c>
      <c r="I718" s="9">
        <v>10.5</v>
      </c>
    </row>
    <row r="719" spans="1:9" ht="14.25">
      <c r="A719" s="6">
        <v>715</v>
      </c>
      <c r="B719" s="7" t="s">
        <v>469</v>
      </c>
      <c r="C719" s="6" t="s">
        <v>520</v>
      </c>
      <c r="D719" s="7" t="s">
        <v>1187</v>
      </c>
      <c r="E719" s="7" t="s">
        <v>522</v>
      </c>
      <c r="F719" s="12">
        <v>44481</v>
      </c>
      <c r="G719" s="9">
        <v>100</v>
      </c>
      <c r="H719" s="6">
        <v>1</v>
      </c>
      <c r="I719" s="9">
        <v>100</v>
      </c>
    </row>
    <row r="720" spans="1:9" ht="14.25">
      <c r="A720" s="6">
        <v>716</v>
      </c>
      <c r="B720" s="7" t="s">
        <v>349</v>
      </c>
      <c r="C720" s="6" t="s">
        <v>520</v>
      </c>
      <c r="D720" s="7" t="s">
        <v>1188</v>
      </c>
      <c r="E720" s="7" t="s">
        <v>522</v>
      </c>
      <c r="F720" s="12">
        <v>43811</v>
      </c>
      <c r="G720" s="9">
        <v>410</v>
      </c>
      <c r="H720" s="6">
        <v>1</v>
      </c>
      <c r="I720" s="9">
        <v>410</v>
      </c>
    </row>
    <row r="721" spans="1:9" ht="14.25">
      <c r="A721" s="6">
        <v>717</v>
      </c>
      <c r="B721" s="7" t="s">
        <v>349</v>
      </c>
      <c r="C721" s="6" t="s">
        <v>536</v>
      </c>
      <c r="D721" s="7" t="s">
        <v>1189</v>
      </c>
      <c r="E721" s="7" t="s">
        <v>522</v>
      </c>
      <c r="F721" s="12">
        <v>44489</v>
      </c>
      <c r="G721" s="9">
        <v>101</v>
      </c>
      <c r="H721" s="6">
        <v>2</v>
      </c>
      <c r="I721" s="9">
        <v>50.5</v>
      </c>
    </row>
    <row r="722" spans="1:9" ht="14.25">
      <c r="A722" s="6">
        <v>718</v>
      </c>
      <c r="B722" s="7" t="s">
        <v>349</v>
      </c>
      <c r="C722" s="6" t="s">
        <v>520</v>
      </c>
      <c r="D722" s="7" t="s">
        <v>1190</v>
      </c>
      <c r="E722" s="7" t="s">
        <v>544</v>
      </c>
      <c r="F722" s="12">
        <v>44312</v>
      </c>
      <c r="G722" s="9">
        <v>208</v>
      </c>
      <c r="H722" s="6">
        <v>1</v>
      </c>
      <c r="I722" s="9">
        <v>208</v>
      </c>
    </row>
    <row r="723" spans="1:9" ht="14.25">
      <c r="A723" s="6">
        <v>719</v>
      </c>
      <c r="B723" s="7" t="s">
        <v>349</v>
      </c>
      <c r="C723" s="6" t="s">
        <v>520</v>
      </c>
      <c r="D723" s="7" t="s">
        <v>1191</v>
      </c>
      <c r="E723" s="7" t="s">
        <v>522</v>
      </c>
      <c r="F723" s="12">
        <v>44991</v>
      </c>
      <c r="G723" s="9">
        <v>215</v>
      </c>
      <c r="H723" s="6">
        <v>1</v>
      </c>
      <c r="I723" s="9">
        <v>215</v>
      </c>
    </row>
    <row r="724" spans="1:9" ht="14.25">
      <c r="A724" s="6">
        <v>720</v>
      </c>
      <c r="B724" s="7" t="s">
        <v>393</v>
      </c>
      <c r="C724" s="6" t="s">
        <v>520</v>
      </c>
      <c r="D724" s="7" t="s">
        <v>1192</v>
      </c>
      <c r="E724" s="7" t="s">
        <v>522</v>
      </c>
      <c r="F724" s="12">
        <v>43686</v>
      </c>
      <c r="G724" s="9">
        <v>232</v>
      </c>
      <c r="H724" s="6">
        <v>1</v>
      </c>
      <c r="I724" s="9">
        <v>232</v>
      </c>
    </row>
    <row r="725" spans="1:9" ht="14.25">
      <c r="A725" s="6">
        <v>721</v>
      </c>
      <c r="B725" s="7" t="s">
        <v>393</v>
      </c>
      <c r="C725" s="6" t="s">
        <v>520</v>
      </c>
      <c r="D725" s="7" t="s">
        <v>1193</v>
      </c>
      <c r="E725" s="7" t="s">
        <v>544</v>
      </c>
      <c r="F725" s="12">
        <v>44420</v>
      </c>
      <c r="G725" s="9">
        <v>115.1</v>
      </c>
      <c r="H725" s="6">
        <v>1</v>
      </c>
      <c r="I725" s="9">
        <v>115.1</v>
      </c>
    </row>
    <row r="726" spans="1:9" ht="14.25">
      <c r="A726" s="6">
        <v>722</v>
      </c>
      <c r="B726" s="7" t="s">
        <v>504</v>
      </c>
      <c r="C726" s="6" t="s">
        <v>520</v>
      </c>
      <c r="D726" s="7" t="s">
        <v>737</v>
      </c>
      <c r="E726" s="7" t="s">
        <v>544</v>
      </c>
      <c r="F726" s="12">
        <v>45328</v>
      </c>
      <c r="G726" s="9">
        <v>55</v>
      </c>
      <c r="H726" s="6">
        <v>2</v>
      </c>
      <c r="I726" s="9">
        <v>27.5</v>
      </c>
    </row>
    <row r="727" spans="1:9" ht="14.25">
      <c r="A727" s="6">
        <v>723</v>
      </c>
      <c r="B727" s="7" t="s">
        <v>163</v>
      </c>
      <c r="C727" s="6" t="s">
        <v>536</v>
      </c>
      <c r="D727" s="7" t="s">
        <v>1194</v>
      </c>
      <c r="E727" s="7" t="s">
        <v>522</v>
      </c>
      <c r="F727" s="12">
        <v>43453</v>
      </c>
      <c r="G727" s="9">
        <v>700</v>
      </c>
      <c r="H727" s="6">
        <v>2</v>
      </c>
      <c r="I727" s="9">
        <v>350</v>
      </c>
    </row>
    <row r="728" spans="1:9" ht="14.25">
      <c r="A728" s="6">
        <v>724</v>
      </c>
      <c r="B728" s="7" t="s">
        <v>163</v>
      </c>
      <c r="C728" s="6" t="s">
        <v>520</v>
      </c>
      <c r="D728" s="7" t="s">
        <v>1195</v>
      </c>
      <c r="E728" s="7" t="s">
        <v>522</v>
      </c>
      <c r="F728" s="12">
        <v>43462</v>
      </c>
      <c r="G728" s="9">
        <v>1630</v>
      </c>
      <c r="H728" s="6">
        <v>2</v>
      </c>
      <c r="I728" s="9">
        <v>815</v>
      </c>
    </row>
    <row r="729" spans="1:9" ht="14.25">
      <c r="A729" s="6">
        <v>725</v>
      </c>
      <c r="B729" s="7" t="s">
        <v>163</v>
      </c>
      <c r="C729" s="6" t="s">
        <v>536</v>
      </c>
      <c r="D729" s="7" t="s">
        <v>1196</v>
      </c>
      <c r="E729" s="7" t="s">
        <v>544</v>
      </c>
      <c r="F729" s="12">
        <v>43616</v>
      </c>
      <c r="G729" s="9">
        <v>1551</v>
      </c>
      <c r="H729" s="6">
        <v>2</v>
      </c>
      <c r="I729" s="9">
        <v>775.5</v>
      </c>
    </row>
    <row r="730" spans="1:9" ht="14.25">
      <c r="A730" s="6">
        <v>726</v>
      </c>
      <c r="B730" s="7" t="s">
        <v>163</v>
      </c>
      <c r="C730" s="6" t="s">
        <v>536</v>
      </c>
      <c r="D730" s="7" t="s">
        <v>892</v>
      </c>
      <c r="E730" s="7" t="s">
        <v>522</v>
      </c>
      <c r="F730" s="12">
        <v>44334</v>
      </c>
      <c r="G730" s="9">
        <v>212</v>
      </c>
      <c r="H730" s="6">
        <v>2</v>
      </c>
      <c r="I730" s="9">
        <v>106</v>
      </c>
    </row>
    <row r="731" spans="1:9" ht="14.25">
      <c r="A731" s="6">
        <v>727</v>
      </c>
      <c r="B731" s="7" t="s">
        <v>163</v>
      </c>
      <c r="C731" s="6" t="s">
        <v>520</v>
      </c>
      <c r="D731" s="7" t="s">
        <v>1197</v>
      </c>
      <c r="E731" s="7" t="s">
        <v>522</v>
      </c>
      <c r="F731" s="12">
        <v>44693</v>
      </c>
      <c r="G731" s="9">
        <v>1652.4</v>
      </c>
      <c r="H731" s="6">
        <v>1</v>
      </c>
      <c r="I731" s="9">
        <v>1652.4</v>
      </c>
    </row>
    <row r="732" spans="1:9" ht="14.25">
      <c r="A732" s="6">
        <v>728</v>
      </c>
      <c r="B732" s="7" t="s">
        <v>163</v>
      </c>
      <c r="C732" s="6" t="s">
        <v>520</v>
      </c>
      <c r="D732" s="7" t="s">
        <v>1088</v>
      </c>
      <c r="E732" s="7" t="s">
        <v>522</v>
      </c>
      <c r="F732" s="12">
        <v>44729</v>
      </c>
      <c r="G732" s="9">
        <v>2200</v>
      </c>
      <c r="H732" s="6">
        <v>2</v>
      </c>
      <c r="I732" s="9">
        <v>1100</v>
      </c>
    </row>
    <row r="733" spans="1:9" ht="14.25">
      <c r="A733" s="6">
        <v>729</v>
      </c>
      <c r="B733" s="7" t="s">
        <v>163</v>
      </c>
      <c r="C733" s="6" t="s">
        <v>520</v>
      </c>
      <c r="D733" s="7" t="s">
        <v>599</v>
      </c>
      <c r="E733" s="7" t="s">
        <v>522</v>
      </c>
      <c r="F733" s="12">
        <v>44617</v>
      </c>
      <c r="G733" s="9">
        <v>102</v>
      </c>
      <c r="H733" s="6">
        <v>2</v>
      </c>
      <c r="I733" s="9">
        <v>51</v>
      </c>
    </row>
    <row r="734" spans="1:9" ht="14.25">
      <c r="A734" s="6">
        <v>730</v>
      </c>
      <c r="B734" s="7" t="s">
        <v>163</v>
      </c>
      <c r="C734" s="6" t="s">
        <v>1198</v>
      </c>
      <c r="D734" s="7" t="s">
        <v>808</v>
      </c>
      <c r="E734" s="7" t="s">
        <v>522</v>
      </c>
      <c r="F734" s="12">
        <v>44818</v>
      </c>
      <c r="G734" s="9">
        <v>1240</v>
      </c>
      <c r="H734" s="6">
        <v>3</v>
      </c>
      <c r="I734" s="9">
        <v>413.3</v>
      </c>
    </row>
    <row r="735" spans="1:9" ht="14.25">
      <c r="A735" s="6">
        <v>731</v>
      </c>
      <c r="B735" s="7" t="s">
        <v>163</v>
      </c>
      <c r="C735" s="6" t="s">
        <v>520</v>
      </c>
      <c r="D735" s="7" t="s">
        <v>1199</v>
      </c>
      <c r="E735" s="7" t="s">
        <v>544</v>
      </c>
      <c r="F735" s="12">
        <v>45282</v>
      </c>
      <c r="G735" s="9">
        <v>1100</v>
      </c>
      <c r="H735" s="6">
        <v>1</v>
      </c>
      <c r="I735" s="9">
        <v>1100</v>
      </c>
    </row>
    <row r="736" spans="1:9" ht="14.25">
      <c r="A736" s="6">
        <v>732</v>
      </c>
      <c r="B736" s="7" t="s">
        <v>163</v>
      </c>
      <c r="C736" s="6" t="s">
        <v>536</v>
      </c>
      <c r="D736" s="7" t="s">
        <v>1091</v>
      </c>
      <c r="E736" s="7" t="s">
        <v>522</v>
      </c>
      <c r="F736" s="12">
        <v>45548</v>
      </c>
      <c r="G736" s="9">
        <v>257</v>
      </c>
      <c r="H736" s="6">
        <v>2</v>
      </c>
      <c r="I736" s="9">
        <v>128.5</v>
      </c>
    </row>
    <row r="737" spans="1:9" ht="14.25">
      <c r="A737" s="6">
        <v>733</v>
      </c>
      <c r="B737" s="7" t="s">
        <v>163</v>
      </c>
      <c r="C737" s="6" t="s">
        <v>520</v>
      </c>
      <c r="D737" s="7" t="s">
        <v>600</v>
      </c>
      <c r="E737" s="7" t="s">
        <v>522</v>
      </c>
      <c r="F737" s="12">
        <v>45643</v>
      </c>
      <c r="G737" s="9">
        <v>394.5</v>
      </c>
      <c r="H737" s="6">
        <v>2</v>
      </c>
      <c r="I737" s="9">
        <v>197.2</v>
      </c>
    </row>
    <row r="738" spans="1:9" ht="14.25">
      <c r="A738" s="6">
        <v>734</v>
      </c>
      <c r="B738" s="7" t="s">
        <v>322</v>
      </c>
      <c r="C738" s="6" t="s">
        <v>520</v>
      </c>
      <c r="D738" s="7" t="s">
        <v>1200</v>
      </c>
      <c r="E738" s="7" t="s">
        <v>522</v>
      </c>
      <c r="F738" s="12">
        <v>44922</v>
      </c>
      <c r="G738" s="9">
        <v>530</v>
      </c>
      <c r="H738" s="6">
        <v>1</v>
      </c>
      <c r="I738" s="9">
        <v>530</v>
      </c>
    </row>
    <row r="739" spans="1:9" ht="14.25">
      <c r="A739" s="6">
        <v>735</v>
      </c>
      <c r="B739" s="7" t="s">
        <v>138</v>
      </c>
      <c r="C739" s="6" t="s">
        <v>520</v>
      </c>
      <c r="D739" s="7" t="s">
        <v>1201</v>
      </c>
      <c r="E739" s="7" t="s">
        <v>522</v>
      </c>
      <c r="F739" s="12">
        <v>43132</v>
      </c>
      <c r="G739" s="9">
        <v>2000</v>
      </c>
      <c r="H739" s="6">
        <v>1</v>
      </c>
      <c r="I739" s="9">
        <v>2000</v>
      </c>
    </row>
    <row r="740" spans="1:9" ht="14.25">
      <c r="A740" s="6">
        <v>736</v>
      </c>
      <c r="B740" s="7" t="s">
        <v>138</v>
      </c>
      <c r="C740" s="6" t="s">
        <v>520</v>
      </c>
      <c r="D740" s="7" t="s">
        <v>1202</v>
      </c>
      <c r="E740" s="7" t="s">
        <v>522</v>
      </c>
      <c r="F740" s="12">
        <v>44196</v>
      </c>
      <c r="G740" s="9">
        <v>2113</v>
      </c>
      <c r="H740" s="6">
        <v>1</v>
      </c>
      <c r="I740" s="9">
        <v>2113</v>
      </c>
    </row>
    <row r="741" spans="1:9" ht="14.25">
      <c r="A741" s="6">
        <v>737</v>
      </c>
      <c r="B741" s="7" t="s">
        <v>138</v>
      </c>
      <c r="C741" s="6" t="s">
        <v>520</v>
      </c>
      <c r="D741" s="7" t="s">
        <v>1203</v>
      </c>
      <c r="E741" s="7" t="s">
        <v>522</v>
      </c>
      <c r="F741" s="12">
        <v>45425</v>
      </c>
      <c r="G741" s="9">
        <v>1000</v>
      </c>
      <c r="H741" s="6">
        <v>1</v>
      </c>
      <c r="I741" s="9">
        <v>1000</v>
      </c>
    </row>
    <row r="742" spans="1:9" ht="14.25">
      <c r="A742" s="6">
        <v>738</v>
      </c>
      <c r="B742" s="7" t="s">
        <v>310</v>
      </c>
      <c r="C742" s="6" t="s">
        <v>520</v>
      </c>
      <c r="D742" s="7" t="s">
        <v>1204</v>
      </c>
      <c r="E742" s="7" t="s">
        <v>522</v>
      </c>
      <c r="F742" s="12">
        <v>43238</v>
      </c>
      <c r="G742" s="9">
        <v>565</v>
      </c>
      <c r="H742" s="6">
        <v>1</v>
      </c>
      <c r="I742" s="9">
        <v>565</v>
      </c>
    </row>
    <row r="743" spans="1:9" ht="14.25">
      <c r="A743" s="6">
        <v>739</v>
      </c>
      <c r="B743" s="7" t="s">
        <v>310</v>
      </c>
      <c r="C743" s="6" t="s">
        <v>520</v>
      </c>
      <c r="D743" s="7" t="s">
        <v>1205</v>
      </c>
      <c r="E743" s="7" t="s">
        <v>522</v>
      </c>
      <c r="F743" s="12">
        <v>44963</v>
      </c>
      <c r="G743" s="9">
        <v>326</v>
      </c>
      <c r="H743" s="6">
        <v>1</v>
      </c>
      <c r="I743" s="9">
        <v>326</v>
      </c>
    </row>
    <row r="744" spans="1:9" ht="14.25">
      <c r="A744" s="6">
        <v>740</v>
      </c>
      <c r="B744" s="7" t="s">
        <v>116</v>
      </c>
      <c r="C744" s="6" t="s">
        <v>536</v>
      </c>
      <c r="D744" s="7" t="s">
        <v>821</v>
      </c>
      <c r="E744" s="7" t="s">
        <v>544</v>
      </c>
      <c r="F744" s="12">
        <v>44167</v>
      </c>
      <c r="G744" s="9">
        <v>2090</v>
      </c>
      <c r="H744" s="6">
        <v>2</v>
      </c>
      <c r="I744" s="9">
        <v>1045</v>
      </c>
    </row>
    <row r="745" spans="1:9" ht="14.25">
      <c r="A745" s="6">
        <v>741</v>
      </c>
      <c r="B745" s="7" t="s">
        <v>116</v>
      </c>
      <c r="C745" s="6" t="s">
        <v>520</v>
      </c>
      <c r="D745" s="7" t="s">
        <v>1206</v>
      </c>
      <c r="E745" s="7" t="s">
        <v>522</v>
      </c>
      <c r="F745" s="12">
        <v>44442</v>
      </c>
      <c r="G745" s="9">
        <v>1990</v>
      </c>
      <c r="H745" s="6">
        <v>1</v>
      </c>
      <c r="I745" s="9">
        <v>1990</v>
      </c>
    </row>
    <row r="746" spans="1:9" ht="14.25">
      <c r="A746" s="6">
        <v>742</v>
      </c>
      <c r="B746" s="7" t="s">
        <v>116</v>
      </c>
      <c r="C746" s="6" t="s">
        <v>520</v>
      </c>
      <c r="D746" s="7" t="s">
        <v>1207</v>
      </c>
      <c r="E746" s="7" t="s">
        <v>522</v>
      </c>
      <c r="F746" s="12">
        <v>44539</v>
      </c>
      <c r="G746" s="9">
        <v>600</v>
      </c>
      <c r="H746" s="6">
        <v>1</v>
      </c>
      <c r="I746" s="9">
        <v>600</v>
      </c>
    </row>
    <row r="747" spans="1:9" ht="14.25">
      <c r="A747" s="6">
        <v>743</v>
      </c>
      <c r="B747" s="7" t="s">
        <v>116</v>
      </c>
      <c r="C747" s="6" t="s">
        <v>520</v>
      </c>
      <c r="D747" s="7" t="s">
        <v>1208</v>
      </c>
      <c r="E747" s="7" t="s">
        <v>522</v>
      </c>
      <c r="F747" s="12">
        <v>45216</v>
      </c>
      <c r="G747" s="9">
        <v>136</v>
      </c>
      <c r="H747" s="6">
        <v>1</v>
      </c>
      <c r="I747" s="9">
        <v>136</v>
      </c>
    </row>
    <row r="748" spans="1:9" ht="14.25">
      <c r="A748" s="6">
        <v>744</v>
      </c>
      <c r="B748" s="7" t="s">
        <v>116</v>
      </c>
      <c r="C748" s="6" t="s">
        <v>520</v>
      </c>
      <c r="D748" s="7" t="s">
        <v>1209</v>
      </c>
      <c r="E748" s="7" t="s">
        <v>522</v>
      </c>
      <c r="F748" s="12">
        <v>45534</v>
      </c>
      <c r="G748" s="9">
        <v>2780</v>
      </c>
      <c r="H748" s="6">
        <v>1</v>
      </c>
      <c r="I748" s="9">
        <v>2780</v>
      </c>
    </row>
    <row r="749" spans="1:9" ht="14.25">
      <c r="A749" s="6">
        <v>745</v>
      </c>
      <c r="B749" s="7" t="s">
        <v>305</v>
      </c>
      <c r="C749" s="6" t="s">
        <v>520</v>
      </c>
      <c r="D749" s="7" t="s">
        <v>1210</v>
      </c>
      <c r="E749" s="7" t="s">
        <v>522</v>
      </c>
      <c r="F749" s="12">
        <v>44194</v>
      </c>
      <c r="G749" s="9">
        <v>600</v>
      </c>
      <c r="H749" s="6">
        <v>1</v>
      </c>
      <c r="I749" s="9">
        <v>600</v>
      </c>
    </row>
    <row r="750" spans="1:9" ht="14.25">
      <c r="A750" s="6">
        <v>746</v>
      </c>
      <c r="B750" s="7" t="s">
        <v>305</v>
      </c>
      <c r="C750" s="6" t="s">
        <v>520</v>
      </c>
      <c r="D750" s="7" t="s">
        <v>1211</v>
      </c>
      <c r="E750" s="7" t="s">
        <v>522</v>
      </c>
      <c r="F750" s="12">
        <v>44776</v>
      </c>
      <c r="G750" s="9">
        <v>123</v>
      </c>
      <c r="H750" s="6">
        <v>1</v>
      </c>
      <c r="I750" s="9">
        <v>123</v>
      </c>
    </row>
    <row r="751" spans="1:9" ht="14.25">
      <c r="A751" s="6">
        <v>747</v>
      </c>
      <c r="B751" s="7" t="s">
        <v>336</v>
      </c>
      <c r="C751" s="6" t="s">
        <v>536</v>
      </c>
      <c r="D751" s="7" t="s">
        <v>725</v>
      </c>
      <c r="E751" s="7" t="s">
        <v>528</v>
      </c>
      <c r="F751" s="12">
        <v>44477</v>
      </c>
      <c r="G751" s="9">
        <v>1001</v>
      </c>
      <c r="H751" s="6">
        <v>2</v>
      </c>
      <c r="I751" s="9">
        <v>500.5</v>
      </c>
    </row>
    <row r="752" spans="1:9" ht="14.25">
      <c r="A752" s="6">
        <v>748</v>
      </c>
      <c r="B752" s="7" t="s">
        <v>336</v>
      </c>
      <c r="C752" s="6" t="s">
        <v>520</v>
      </c>
      <c r="D752" s="7" t="s">
        <v>1212</v>
      </c>
      <c r="E752" s="7" t="s">
        <v>522</v>
      </c>
      <c r="F752" s="12">
        <v>44517</v>
      </c>
      <c r="G752" s="9">
        <v>76</v>
      </c>
      <c r="H752" s="6">
        <v>1</v>
      </c>
      <c r="I752" s="9">
        <v>76</v>
      </c>
    </row>
    <row r="753" spans="1:9" ht="14.25">
      <c r="A753" s="6">
        <v>749</v>
      </c>
      <c r="B753" s="7" t="s">
        <v>336</v>
      </c>
      <c r="C753" s="6" t="s">
        <v>536</v>
      </c>
      <c r="D753" s="7" t="s">
        <v>880</v>
      </c>
      <c r="E753" s="7" t="s">
        <v>522</v>
      </c>
      <c r="F753" s="12">
        <v>45135</v>
      </c>
      <c r="G753" s="9">
        <v>203</v>
      </c>
      <c r="H753" s="6">
        <v>2</v>
      </c>
      <c r="I753" s="9">
        <v>101.5</v>
      </c>
    </row>
    <row r="754" spans="1:9" ht="14.25">
      <c r="A754" s="6">
        <v>750</v>
      </c>
      <c r="B754" s="7" t="s">
        <v>424</v>
      </c>
      <c r="C754" s="6" t="s">
        <v>520</v>
      </c>
      <c r="D754" s="7" t="s">
        <v>1213</v>
      </c>
      <c r="E754" s="7" t="s">
        <v>522</v>
      </c>
      <c r="F754" s="12">
        <v>45622</v>
      </c>
      <c r="G754" s="9">
        <v>151.5</v>
      </c>
      <c r="H754" s="6">
        <v>1</v>
      </c>
      <c r="I754" s="9">
        <v>151.5</v>
      </c>
    </row>
    <row r="755" spans="1:9" ht="14.25">
      <c r="A755" s="6">
        <v>751</v>
      </c>
      <c r="B755" s="7" t="s">
        <v>38</v>
      </c>
      <c r="C755" s="6" t="s">
        <v>520</v>
      </c>
      <c r="D755" s="7" t="s">
        <v>1214</v>
      </c>
      <c r="E755" s="7" t="s">
        <v>522</v>
      </c>
      <c r="F755" s="12">
        <v>43434</v>
      </c>
      <c r="G755" s="9">
        <v>5000</v>
      </c>
      <c r="H755" s="6">
        <v>1</v>
      </c>
      <c r="I755" s="9">
        <v>5000</v>
      </c>
    </row>
    <row r="756" spans="1:9" ht="14.25">
      <c r="A756" s="6">
        <v>752</v>
      </c>
      <c r="B756" s="7" t="s">
        <v>38</v>
      </c>
      <c r="C756" s="6" t="s">
        <v>520</v>
      </c>
      <c r="D756" s="7" t="s">
        <v>1215</v>
      </c>
      <c r="E756" s="7" t="s">
        <v>522</v>
      </c>
      <c r="F756" s="12">
        <v>44694</v>
      </c>
      <c r="G756" s="9">
        <v>347</v>
      </c>
      <c r="H756" s="6">
        <v>1</v>
      </c>
      <c r="I756" s="9">
        <v>347</v>
      </c>
    </row>
    <row r="757" spans="1:9" ht="14.25">
      <c r="A757" s="6">
        <v>753</v>
      </c>
      <c r="B757" s="7" t="s">
        <v>38</v>
      </c>
      <c r="C757" s="6" t="s">
        <v>520</v>
      </c>
      <c r="D757" s="7" t="s">
        <v>1118</v>
      </c>
      <c r="E757" s="7" t="s">
        <v>522</v>
      </c>
      <c r="F757" s="12">
        <v>45092</v>
      </c>
      <c r="G757" s="9">
        <v>1551</v>
      </c>
      <c r="H757" s="6">
        <v>2</v>
      </c>
      <c r="I757" s="9">
        <v>775.5</v>
      </c>
    </row>
    <row r="758" spans="1:9" ht="14.25">
      <c r="A758" s="6">
        <v>754</v>
      </c>
      <c r="B758" s="7" t="s">
        <v>38</v>
      </c>
      <c r="C758" s="6" t="s">
        <v>520</v>
      </c>
      <c r="D758" s="7" t="s">
        <v>1119</v>
      </c>
      <c r="E758" s="7" t="s">
        <v>522</v>
      </c>
      <c r="F758" s="12">
        <v>45092</v>
      </c>
      <c r="G758" s="9">
        <v>1211</v>
      </c>
      <c r="H758" s="6">
        <v>2</v>
      </c>
      <c r="I758" s="9">
        <v>605.5</v>
      </c>
    </row>
    <row r="759" spans="1:9" ht="14.25">
      <c r="A759" s="6">
        <v>755</v>
      </c>
      <c r="B759" s="7" t="s">
        <v>38</v>
      </c>
      <c r="C759" s="6" t="s">
        <v>520</v>
      </c>
      <c r="D759" s="7" t="s">
        <v>1120</v>
      </c>
      <c r="E759" s="7" t="s">
        <v>522</v>
      </c>
      <c r="F759" s="12">
        <v>45090</v>
      </c>
      <c r="G759" s="9">
        <v>552</v>
      </c>
      <c r="H759" s="6">
        <v>2</v>
      </c>
      <c r="I759" s="9">
        <v>276</v>
      </c>
    </row>
    <row r="760" spans="1:9" ht="14.25">
      <c r="A760" s="6">
        <v>756</v>
      </c>
      <c r="B760" s="7" t="s">
        <v>38</v>
      </c>
      <c r="C760" s="6" t="s">
        <v>536</v>
      </c>
      <c r="D760" s="7" t="s">
        <v>1121</v>
      </c>
      <c r="E760" s="7" t="s">
        <v>522</v>
      </c>
      <c r="F760" s="12">
        <v>45120</v>
      </c>
      <c r="G760" s="9">
        <v>1709</v>
      </c>
      <c r="H760" s="6">
        <v>2</v>
      </c>
      <c r="I760" s="9">
        <v>854.5</v>
      </c>
    </row>
    <row r="761" spans="1:9" ht="14.25">
      <c r="A761" s="6">
        <v>757</v>
      </c>
      <c r="B761" s="7" t="s">
        <v>38</v>
      </c>
      <c r="C761" s="6" t="s">
        <v>520</v>
      </c>
      <c r="D761" s="7" t="s">
        <v>1216</v>
      </c>
      <c r="E761" s="7" t="s">
        <v>522</v>
      </c>
      <c r="F761" s="12">
        <v>45126</v>
      </c>
      <c r="G761" s="9">
        <v>701</v>
      </c>
      <c r="H761" s="6">
        <v>1</v>
      </c>
      <c r="I761" s="9">
        <v>701</v>
      </c>
    </row>
    <row r="762" spans="1:9" ht="14.25">
      <c r="A762" s="6">
        <v>758</v>
      </c>
      <c r="B762" s="7" t="s">
        <v>38</v>
      </c>
      <c r="C762" s="6" t="s">
        <v>520</v>
      </c>
      <c r="D762" s="7" t="s">
        <v>1217</v>
      </c>
      <c r="E762" s="7" t="s">
        <v>522</v>
      </c>
      <c r="F762" s="12">
        <v>45126</v>
      </c>
      <c r="G762" s="9">
        <v>1067</v>
      </c>
      <c r="H762" s="6">
        <v>1</v>
      </c>
      <c r="I762" s="9">
        <v>1067</v>
      </c>
    </row>
    <row r="763" spans="1:9" ht="14.25">
      <c r="A763" s="6">
        <v>759</v>
      </c>
      <c r="B763" s="7" t="s">
        <v>38</v>
      </c>
      <c r="C763" s="6" t="s">
        <v>520</v>
      </c>
      <c r="D763" s="7" t="s">
        <v>1218</v>
      </c>
      <c r="E763" s="7" t="s">
        <v>522</v>
      </c>
      <c r="F763" s="12">
        <v>44995</v>
      </c>
      <c r="G763" s="9">
        <v>500.1</v>
      </c>
      <c r="H763" s="6">
        <v>1</v>
      </c>
      <c r="I763" s="9">
        <v>500.1</v>
      </c>
    </row>
    <row r="764" spans="1:9" ht="14.25">
      <c r="A764" s="6">
        <v>760</v>
      </c>
      <c r="B764" s="7" t="s">
        <v>38</v>
      </c>
      <c r="C764" s="6" t="s">
        <v>520</v>
      </c>
      <c r="D764" s="7" t="s">
        <v>1219</v>
      </c>
      <c r="E764" s="7" t="s">
        <v>522</v>
      </c>
      <c r="F764" s="12">
        <v>44995</v>
      </c>
      <c r="G764" s="9">
        <v>800.1</v>
      </c>
      <c r="H764" s="6">
        <v>1</v>
      </c>
      <c r="I764" s="9">
        <v>800.1</v>
      </c>
    </row>
    <row r="765" spans="1:9" ht="14.25">
      <c r="A765" s="6">
        <v>761</v>
      </c>
      <c r="B765" s="7" t="s">
        <v>38</v>
      </c>
      <c r="C765" s="6" t="s">
        <v>520</v>
      </c>
      <c r="D765" s="7" t="s">
        <v>1220</v>
      </c>
      <c r="E765" s="7" t="s">
        <v>522</v>
      </c>
      <c r="F765" s="12">
        <v>45126</v>
      </c>
      <c r="G765" s="9">
        <v>2666</v>
      </c>
      <c r="H765" s="6">
        <v>1</v>
      </c>
      <c r="I765" s="9">
        <v>2666</v>
      </c>
    </row>
    <row r="766" spans="1:9" ht="14.25">
      <c r="A766" s="6">
        <v>762</v>
      </c>
      <c r="B766" s="7" t="s">
        <v>38</v>
      </c>
      <c r="C766" s="6" t="s">
        <v>520</v>
      </c>
      <c r="D766" s="7" t="s">
        <v>1221</v>
      </c>
      <c r="E766" s="7" t="s">
        <v>522</v>
      </c>
      <c r="F766" s="12">
        <v>44995</v>
      </c>
      <c r="G766" s="9">
        <v>8266</v>
      </c>
      <c r="H766" s="6">
        <v>1</v>
      </c>
      <c r="I766" s="9">
        <v>8266</v>
      </c>
    </row>
    <row r="767" spans="1:9" ht="14.25">
      <c r="A767" s="6">
        <v>763</v>
      </c>
      <c r="B767" s="7" t="s">
        <v>38</v>
      </c>
      <c r="C767" s="6" t="s">
        <v>536</v>
      </c>
      <c r="D767" s="7" t="s">
        <v>1127</v>
      </c>
      <c r="E767" s="7" t="s">
        <v>522</v>
      </c>
      <c r="F767" s="12">
        <v>45294</v>
      </c>
      <c r="G767" s="9">
        <v>338.5</v>
      </c>
      <c r="H767" s="6">
        <v>2</v>
      </c>
      <c r="I767" s="9">
        <v>169.2</v>
      </c>
    </row>
    <row r="768" spans="1:9" ht="14.25">
      <c r="A768" s="6">
        <v>764</v>
      </c>
      <c r="B768" s="7" t="s">
        <v>38</v>
      </c>
      <c r="C768" s="6" t="s">
        <v>520</v>
      </c>
      <c r="D768" s="7" t="s">
        <v>1128</v>
      </c>
      <c r="E768" s="7" t="s">
        <v>522</v>
      </c>
      <c r="F768" s="12">
        <v>45335</v>
      </c>
      <c r="G768" s="9">
        <v>553</v>
      </c>
      <c r="H768" s="6">
        <v>2</v>
      </c>
      <c r="I768" s="9">
        <v>276.5</v>
      </c>
    </row>
    <row r="769" spans="1:9" ht="14.25">
      <c r="A769" s="6">
        <v>765</v>
      </c>
      <c r="B769" s="7" t="s">
        <v>130</v>
      </c>
      <c r="C769" s="6" t="s">
        <v>520</v>
      </c>
      <c r="D769" s="7" t="s">
        <v>1222</v>
      </c>
      <c r="E769" s="7" t="s">
        <v>522</v>
      </c>
      <c r="F769" s="12">
        <v>43462</v>
      </c>
      <c r="G769" s="9">
        <v>2360</v>
      </c>
      <c r="H769" s="6">
        <v>1</v>
      </c>
      <c r="I769" s="9">
        <v>2360</v>
      </c>
    </row>
    <row r="770" spans="1:9" ht="14.25">
      <c r="A770" s="6">
        <v>766</v>
      </c>
      <c r="B770" s="7" t="s">
        <v>130</v>
      </c>
      <c r="C770" s="6" t="s">
        <v>520</v>
      </c>
      <c r="D770" s="7" t="s">
        <v>1223</v>
      </c>
      <c r="E770" s="7" t="s">
        <v>522</v>
      </c>
      <c r="F770" s="12">
        <v>45288</v>
      </c>
      <c r="G770" s="9">
        <v>1500</v>
      </c>
      <c r="H770" s="6">
        <v>1</v>
      </c>
      <c r="I770" s="9">
        <v>1500</v>
      </c>
    </row>
    <row r="771" spans="1:9" ht="14.25">
      <c r="A771" s="6">
        <v>767</v>
      </c>
      <c r="B771" s="7" t="s">
        <v>288</v>
      </c>
      <c r="C771" s="6" t="s">
        <v>520</v>
      </c>
      <c r="D771" s="7" t="s">
        <v>995</v>
      </c>
      <c r="E771" s="7" t="s">
        <v>544</v>
      </c>
      <c r="F771" s="12">
        <v>42270</v>
      </c>
      <c r="G771" s="9">
        <v>1400</v>
      </c>
      <c r="H771" s="6">
        <v>2</v>
      </c>
      <c r="I771" s="9">
        <v>700</v>
      </c>
    </row>
    <row r="772" spans="1:9" ht="14.25">
      <c r="A772" s="6">
        <v>768</v>
      </c>
      <c r="B772" s="7" t="s">
        <v>288</v>
      </c>
      <c r="C772" s="6" t="s">
        <v>520</v>
      </c>
      <c r="D772" s="7" t="s">
        <v>1224</v>
      </c>
      <c r="E772" s="7" t="s">
        <v>544</v>
      </c>
      <c r="F772" s="12">
        <v>43889</v>
      </c>
      <c r="G772" s="9">
        <v>1050</v>
      </c>
      <c r="H772" s="6">
        <v>2</v>
      </c>
      <c r="I772" s="9">
        <v>525</v>
      </c>
    </row>
    <row r="773" spans="1:9" ht="14.25">
      <c r="A773" s="6">
        <v>769</v>
      </c>
      <c r="B773" s="7" t="s">
        <v>288</v>
      </c>
      <c r="C773" s="6" t="s">
        <v>520</v>
      </c>
      <c r="D773" s="7" t="s">
        <v>1225</v>
      </c>
      <c r="E773" s="7" t="s">
        <v>522</v>
      </c>
      <c r="F773" s="12">
        <v>44369</v>
      </c>
      <c r="G773" s="9">
        <v>637.5</v>
      </c>
      <c r="H773" s="6">
        <v>1</v>
      </c>
      <c r="I773" s="9">
        <v>637.5</v>
      </c>
    </row>
    <row r="774" spans="1:9" ht="14.25">
      <c r="A774" s="6">
        <v>770</v>
      </c>
      <c r="B774" s="7" t="s">
        <v>92</v>
      </c>
      <c r="C774" s="6" t="s">
        <v>536</v>
      </c>
      <c r="D774" s="7" t="s">
        <v>1226</v>
      </c>
      <c r="E774" s="7" t="s">
        <v>522</v>
      </c>
      <c r="F774" s="12">
        <v>43434</v>
      </c>
      <c r="G774" s="9">
        <v>900</v>
      </c>
      <c r="H774" s="6">
        <v>2</v>
      </c>
      <c r="I774" s="9">
        <v>450</v>
      </c>
    </row>
    <row r="775" spans="1:9" ht="14.25">
      <c r="A775" s="6">
        <v>771</v>
      </c>
      <c r="B775" s="7" t="s">
        <v>92</v>
      </c>
      <c r="C775" s="6" t="s">
        <v>520</v>
      </c>
      <c r="D775" s="7" t="s">
        <v>1227</v>
      </c>
      <c r="E775" s="7" t="s">
        <v>522</v>
      </c>
      <c r="F775" s="12">
        <v>43810</v>
      </c>
      <c r="G775" s="9">
        <v>190</v>
      </c>
      <c r="H775" s="6">
        <v>1</v>
      </c>
      <c r="I775" s="9">
        <v>190</v>
      </c>
    </row>
    <row r="776" spans="1:9" ht="14.25">
      <c r="A776" s="6">
        <v>772</v>
      </c>
      <c r="B776" s="7" t="s">
        <v>92</v>
      </c>
      <c r="C776" s="6" t="s">
        <v>536</v>
      </c>
      <c r="D776" s="7" t="s">
        <v>1228</v>
      </c>
      <c r="E776" s="7" t="s">
        <v>522</v>
      </c>
      <c r="F776" s="12">
        <v>44439</v>
      </c>
      <c r="G776" s="9">
        <v>7050</v>
      </c>
      <c r="H776" s="6">
        <v>2</v>
      </c>
      <c r="I776" s="9">
        <v>3525</v>
      </c>
    </row>
    <row r="777" spans="1:9" ht="14.25">
      <c r="A777" s="6">
        <v>773</v>
      </c>
      <c r="B777" s="7" t="s">
        <v>92</v>
      </c>
      <c r="C777" s="6" t="s">
        <v>520</v>
      </c>
      <c r="D777" s="7" t="s">
        <v>1229</v>
      </c>
      <c r="E777" s="7" t="s">
        <v>522</v>
      </c>
      <c r="F777" s="12">
        <v>44522</v>
      </c>
      <c r="G777" s="9">
        <v>1755</v>
      </c>
      <c r="H777" s="6">
        <v>1</v>
      </c>
      <c r="I777" s="9">
        <v>1755</v>
      </c>
    </row>
    <row r="778" spans="1:9" ht="14.25">
      <c r="A778" s="6">
        <v>774</v>
      </c>
      <c r="B778" s="7" t="s">
        <v>92</v>
      </c>
      <c r="C778" s="6" t="s">
        <v>520</v>
      </c>
      <c r="D778" s="7" t="s">
        <v>1230</v>
      </c>
      <c r="E778" s="7" t="s">
        <v>522</v>
      </c>
      <c r="F778" s="12">
        <v>44406</v>
      </c>
      <c r="G778" s="9">
        <v>370</v>
      </c>
      <c r="H778" s="6">
        <v>1</v>
      </c>
      <c r="I778" s="9">
        <v>370</v>
      </c>
    </row>
    <row r="779" spans="1:9" ht="14.25">
      <c r="A779" s="6">
        <v>775</v>
      </c>
      <c r="B779" s="7" t="s">
        <v>92</v>
      </c>
      <c r="C779" s="6" t="s">
        <v>520</v>
      </c>
      <c r="D779" s="7" t="s">
        <v>1231</v>
      </c>
      <c r="E779" s="7" t="s">
        <v>522</v>
      </c>
      <c r="F779" s="12">
        <v>44390</v>
      </c>
      <c r="G779" s="9">
        <v>711</v>
      </c>
      <c r="H779" s="6">
        <v>2</v>
      </c>
      <c r="I779" s="9">
        <v>355.5</v>
      </c>
    </row>
    <row r="780" spans="1:9" ht="14.25">
      <c r="A780" s="6">
        <v>776</v>
      </c>
      <c r="B780" s="7" t="s">
        <v>92</v>
      </c>
      <c r="C780" s="6" t="s">
        <v>536</v>
      </c>
      <c r="D780" s="7" t="s">
        <v>867</v>
      </c>
      <c r="E780" s="7" t="s">
        <v>522</v>
      </c>
      <c r="F780" s="12">
        <v>45012</v>
      </c>
      <c r="G780" s="9">
        <v>3005</v>
      </c>
      <c r="H780" s="6">
        <v>2</v>
      </c>
      <c r="I780" s="9">
        <v>1502.5</v>
      </c>
    </row>
    <row r="781" spans="1:9" ht="14.25">
      <c r="A781" s="6">
        <v>777</v>
      </c>
      <c r="B781" s="7" t="s">
        <v>92</v>
      </c>
      <c r="C781" s="6" t="s">
        <v>520</v>
      </c>
      <c r="D781" s="7" t="s">
        <v>1232</v>
      </c>
      <c r="E781" s="7" t="s">
        <v>522</v>
      </c>
      <c r="F781" s="12">
        <v>45546</v>
      </c>
      <c r="G781" s="9">
        <v>73.7</v>
      </c>
      <c r="H781" s="6">
        <v>1</v>
      </c>
      <c r="I781" s="9">
        <v>73.7</v>
      </c>
    </row>
    <row r="782" spans="1:9" ht="14.25">
      <c r="A782" s="6">
        <v>778</v>
      </c>
      <c r="B782" s="7" t="s">
        <v>233</v>
      </c>
      <c r="C782" s="6" t="s">
        <v>520</v>
      </c>
      <c r="D782" s="7" t="s">
        <v>1233</v>
      </c>
      <c r="E782" s="7" t="s">
        <v>522</v>
      </c>
      <c r="F782" s="12">
        <v>43454</v>
      </c>
      <c r="G782" s="9">
        <v>1000</v>
      </c>
      <c r="H782" s="6">
        <v>1</v>
      </c>
      <c r="I782" s="9">
        <v>1000</v>
      </c>
    </row>
    <row r="783" spans="1:9" ht="14.25">
      <c r="A783" s="6">
        <v>779</v>
      </c>
      <c r="B783" s="7" t="s">
        <v>233</v>
      </c>
      <c r="C783" s="6" t="s">
        <v>536</v>
      </c>
      <c r="D783" s="7" t="s">
        <v>1234</v>
      </c>
      <c r="E783" s="7" t="s">
        <v>522</v>
      </c>
      <c r="F783" s="12">
        <v>44582</v>
      </c>
      <c r="G783" s="9">
        <v>1172.8</v>
      </c>
      <c r="H783" s="6">
        <v>2</v>
      </c>
      <c r="I783" s="9">
        <v>586.4</v>
      </c>
    </row>
    <row r="784" spans="1:9" ht="14.25">
      <c r="A784" s="6">
        <v>780</v>
      </c>
      <c r="B784" s="7" t="s">
        <v>233</v>
      </c>
      <c r="C784" s="6" t="s">
        <v>520</v>
      </c>
      <c r="D784" s="7" t="s">
        <v>1235</v>
      </c>
      <c r="E784" s="7" t="s">
        <v>522</v>
      </c>
      <c r="F784" s="12">
        <v>45258</v>
      </c>
      <c r="G784" s="9">
        <v>136.5</v>
      </c>
      <c r="H784" s="6">
        <v>1</v>
      </c>
      <c r="I784" s="9">
        <v>136.5</v>
      </c>
    </row>
    <row r="785" spans="1:9" ht="14.25">
      <c r="A785" s="6">
        <v>781</v>
      </c>
      <c r="B785" s="7" t="s">
        <v>421</v>
      </c>
      <c r="C785" s="6" t="s">
        <v>536</v>
      </c>
      <c r="D785" s="7" t="s">
        <v>801</v>
      </c>
      <c r="E785" s="7" t="s">
        <v>522</v>
      </c>
      <c r="F785" s="12">
        <v>45506</v>
      </c>
      <c r="G785" s="9">
        <v>325</v>
      </c>
      <c r="H785" s="6">
        <v>2</v>
      </c>
      <c r="I785" s="9">
        <v>162.5</v>
      </c>
    </row>
    <row r="786" spans="1:9" ht="14.25">
      <c r="A786" s="6">
        <v>782</v>
      </c>
      <c r="B786" s="7" t="s">
        <v>355</v>
      </c>
      <c r="C786" s="6" t="s">
        <v>520</v>
      </c>
      <c r="D786" s="7" t="s">
        <v>1236</v>
      </c>
      <c r="E786" s="7" t="s">
        <v>522</v>
      </c>
      <c r="F786" s="12">
        <v>45091</v>
      </c>
      <c r="G786" s="9">
        <v>357</v>
      </c>
      <c r="H786" s="6">
        <v>1</v>
      </c>
      <c r="I786" s="9">
        <v>357</v>
      </c>
    </row>
    <row r="787" spans="1:9" ht="14.25">
      <c r="A787" s="6">
        <v>783</v>
      </c>
      <c r="B787" s="7" t="s">
        <v>268</v>
      </c>
      <c r="C787" s="6" t="s">
        <v>520</v>
      </c>
      <c r="D787" s="7" t="s">
        <v>1237</v>
      </c>
      <c r="E787" s="7" t="s">
        <v>522</v>
      </c>
      <c r="F787" s="12">
        <v>43417</v>
      </c>
      <c r="G787" s="9">
        <v>451.3</v>
      </c>
      <c r="H787" s="6">
        <v>1</v>
      </c>
      <c r="I787" s="9">
        <v>451.3</v>
      </c>
    </row>
    <row r="788" spans="1:9" ht="14.25">
      <c r="A788" s="6">
        <v>784</v>
      </c>
      <c r="B788" s="7" t="s">
        <v>268</v>
      </c>
      <c r="C788" s="6" t="s">
        <v>520</v>
      </c>
      <c r="D788" s="7" t="s">
        <v>1238</v>
      </c>
      <c r="E788" s="7" t="s">
        <v>522</v>
      </c>
      <c r="F788" s="12">
        <v>44895</v>
      </c>
      <c r="G788" s="9">
        <v>870</v>
      </c>
      <c r="H788" s="6">
        <v>2</v>
      </c>
      <c r="I788" s="9">
        <v>435</v>
      </c>
    </row>
    <row r="789" spans="1:9" ht="14.25">
      <c r="A789" s="6">
        <v>785</v>
      </c>
      <c r="B789" s="7" t="s">
        <v>268</v>
      </c>
      <c r="C789" s="6" t="s">
        <v>520</v>
      </c>
      <c r="D789" s="7" t="s">
        <v>615</v>
      </c>
      <c r="E789" s="7" t="s">
        <v>522</v>
      </c>
      <c r="F789" s="12">
        <v>45407</v>
      </c>
      <c r="G789" s="9">
        <v>1530</v>
      </c>
      <c r="H789" s="6">
        <v>2</v>
      </c>
      <c r="I789" s="9">
        <v>765</v>
      </c>
    </row>
    <row r="790" spans="1:9" ht="14.25">
      <c r="A790" s="6">
        <v>786</v>
      </c>
      <c r="B790" s="7" t="s">
        <v>78</v>
      </c>
      <c r="C790" s="6" t="s">
        <v>520</v>
      </c>
      <c r="D790" s="7" t="s">
        <v>1239</v>
      </c>
      <c r="E790" s="7" t="s">
        <v>522</v>
      </c>
      <c r="F790" s="12">
        <v>44096</v>
      </c>
      <c r="G790" s="9">
        <v>537.1</v>
      </c>
      <c r="H790" s="6">
        <v>1</v>
      </c>
      <c r="I790" s="9">
        <v>537.1</v>
      </c>
    </row>
    <row r="791" spans="1:9" ht="14.25">
      <c r="A791" s="6">
        <v>787</v>
      </c>
      <c r="B791" s="7" t="s">
        <v>78</v>
      </c>
      <c r="C791" s="6" t="s">
        <v>520</v>
      </c>
      <c r="D791" s="7" t="s">
        <v>1240</v>
      </c>
      <c r="E791" s="7" t="s">
        <v>522</v>
      </c>
      <c r="F791" s="12">
        <v>44421</v>
      </c>
      <c r="G791" s="9">
        <v>1710</v>
      </c>
      <c r="H791" s="6">
        <v>2</v>
      </c>
      <c r="I791" s="9">
        <v>855</v>
      </c>
    </row>
    <row r="792" spans="1:9" ht="14.25">
      <c r="A792" s="6">
        <v>788</v>
      </c>
      <c r="B792" s="7" t="s">
        <v>78</v>
      </c>
      <c r="C792" s="6" t="s">
        <v>520</v>
      </c>
      <c r="D792" s="7" t="s">
        <v>1241</v>
      </c>
      <c r="E792" s="7" t="s">
        <v>522</v>
      </c>
      <c r="F792" s="12">
        <v>44314</v>
      </c>
      <c r="G792" s="9">
        <v>774</v>
      </c>
      <c r="H792" s="6">
        <v>1</v>
      </c>
      <c r="I792" s="9">
        <v>774</v>
      </c>
    </row>
    <row r="793" spans="1:9" ht="14.25">
      <c r="A793" s="6">
        <v>789</v>
      </c>
      <c r="B793" s="7" t="s">
        <v>78</v>
      </c>
      <c r="C793" s="6" t="s">
        <v>520</v>
      </c>
      <c r="D793" s="7" t="s">
        <v>1242</v>
      </c>
      <c r="E793" s="7" t="s">
        <v>522</v>
      </c>
      <c r="F793" s="12">
        <v>44327</v>
      </c>
      <c r="G793" s="9">
        <v>1206</v>
      </c>
      <c r="H793" s="6">
        <v>1</v>
      </c>
      <c r="I793" s="9">
        <v>1206</v>
      </c>
    </row>
    <row r="794" spans="1:9" ht="14.25">
      <c r="A794" s="6">
        <v>790</v>
      </c>
      <c r="B794" s="7" t="s">
        <v>78</v>
      </c>
      <c r="C794" s="6" t="s">
        <v>520</v>
      </c>
      <c r="D794" s="7" t="s">
        <v>1243</v>
      </c>
      <c r="E794" s="7" t="s">
        <v>522</v>
      </c>
      <c r="F794" s="12">
        <v>44306</v>
      </c>
      <c r="G794" s="9">
        <v>2350</v>
      </c>
      <c r="H794" s="6">
        <v>1</v>
      </c>
      <c r="I794" s="9">
        <v>2350</v>
      </c>
    </row>
    <row r="795" spans="1:9" ht="14.25">
      <c r="A795" s="6">
        <v>791</v>
      </c>
      <c r="B795" s="7" t="s">
        <v>78</v>
      </c>
      <c r="C795" s="6" t="s">
        <v>536</v>
      </c>
      <c r="D795" s="7" t="s">
        <v>1244</v>
      </c>
      <c r="E795" s="7" t="s">
        <v>522</v>
      </c>
      <c r="F795" s="12">
        <v>44904</v>
      </c>
      <c r="G795" s="9">
        <v>7780</v>
      </c>
      <c r="H795" s="6">
        <v>2</v>
      </c>
      <c r="I795" s="9">
        <v>3890</v>
      </c>
    </row>
    <row r="796" spans="1:9" ht="14.25">
      <c r="A796" s="6">
        <v>792</v>
      </c>
      <c r="B796" s="7" t="s">
        <v>60</v>
      </c>
      <c r="C796" s="6" t="s">
        <v>520</v>
      </c>
      <c r="D796" s="7" t="s">
        <v>1245</v>
      </c>
      <c r="E796" s="7" t="s">
        <v>522</v>
      </c>
      <c r="F796" s="12">
        <v>43238</v>
      </c>
      <c r="G796" s="9">
        <v>1310</v>
      </c>
      <c r="H796" s="6">
        <v>1</v>
      </c>
      <c r="I796" s="9">
        <v>1310</v>
      </c>
    </row>
    <row r="797" spans="1:9" ht="14.25">
      <c r="A797" s="6">
        <v>793</v>
      </c>
      <c r="B797" s="7" t="s">
        <v>60</v>
      </c>
      <c r="C797" s="6" t="s">
        <v>520</v>
      </c>
      <c r="D797" s="7" t="s">
        <v>1246</v>
      </c>
      <c r="E797" s="7" t="s">
        <v>522</v>
      </c>
      <c r="F797" s="12">
        <v>43817</v>
      </c>
      <c r="G797" s="9">
        <v>94.1</v>
      </c>
      <c r="H797" s="6">
        <v>1</v>
      </c>
      <c r="I797" s="9">
        <v>94.1</v>
      </c>
    </row>
    <row r="798" spans="1:9" ht="14.25">
      <c r="A798" s="6">
        <v>794</v>
      </c>
      <c r="B798" s="7" t="s">
        <v>60</v>
      </c>
      <c r="C798" s="6" t="s">
        <v>520</v>
      </c>
      <c r="D798" s="7" t="s">
        <v>1247</v>
      </c>
      <c r="E798" s="7" t="s">
        <v>522</v>
      </c>
      <c r="F798" s="12">
        <v>44018</v>
      </c>
      <c r="G798" s="9">
        <v>171</v>
      </c>
      <c r="H798" s="6">
        <v>1</v>
      </c>
      <c r="I798" s="9">
        <v>171</v>
      </c>
    </row>
    <row r="799" spans="1:9" ht="14.25">
      <c r="A799" s="6">
        <v>795</v>
      </c>
      <c r="B799" s="7" t="s">
        <v>60</v>
      </c>
      <c r="C799" s="6" t="s">
        <v>520</v>
      </c>
      <c r="D799" s="7" t="s">
        <v>1248</v>
      </c>
      <c r="E799" s="7" t="s">
        <v>522</v>
      </c>
      <c r="F799" s="12">
        <v>44013</v>
      </c>
      <c r="G799" s="9">
        <v>2201</v>
      </c>
      <c r="H799" s="6">
        <v>1</v>
      </c>
      <c r="I799" s="9">
        <v>2201</v>
      </c>
    </row>
    <row r="800" spans="1:9" ht="14.25">
      <c r="A800" s="6">
        <v>796</v>
      </c>
      <c r="B800" s="7" t="s">
        <v>60</v>
      </c>
      <c r="C800" s="6" t="s">
        <v>520</v>
      </c>
      <c r="D800" s="7" t="s">
        <v>1249</v>
      </c>
      <c r="E800" s="7" t="s">
        <v>522</v>
      </c>
      <c r="F800" s="12">
        <v>44090</v>
      </c>
      <c r="G800" s="9">
        <v>2000</v>
      </c>
      <c r="H800" s="6">
        <v>1</v>
      </c>
      <c r="I800" s="9">
        <v>2000</v>
      </c>
    </row>
    <row r="801" spans="1:9" ht="14.25">
      <c r="A801" s="6">
        <v>797</v>
      </c>
      <c r="B801" s="7" t="s">
        <v>60</v>
      </c>
      <c r="C801" s="6" t="s">
        <v>520</v>
      </c>
      <c r="D801" s="7" t="s">
        <v>1250</v>
      </c>
      <c r="E801" s="7" t="s">
        <v>522</v>
      </c>
      <c r="F801" s="12">
        <v>44083</v>
      </c>
      <c r="G801" s="9">
        <v>500</v>
      </c>
      <c r="H801" s="6">
        <v>1</v>
      </c>
      <c r="I801" s="9">
        <v>500</v>
      </c>
    </row>
    <row r="802" spans="1:9" ht="14.25">
      <c r="A802" s="6">
        <v>798</v>
      </c>
      <c r="B802" s="7" t="s">
        <v>60</v>
      </c>
      <c r="C802" s="6" t="s">
        <v>520</v>
      </c>
      <c r="D802" s="7" t="s">
        <v>1251</v>
      </c>
      <c r="E802" s="7" t="s">
        <v>522</v>
      </c>
      <c r="F802" s="12">
        <v>44557</v>
      </c>
      <c r="G802" s="9">
        <v>5264</v>
      </c>
      <c r="H802" s="6">
        <v>1</v>
      </c>
      <c r="I802" s="9">
        <v>5264</v>
      </c>
    </row>
    <row r="803" spans="1:9" ht="14.25">
      <c r="A803" s="6">
        <v>799</v>
      </c>
      <c r="B803" s="7" t="s">
        <v>60</v>
      </c>
      <c r="C803" s="6" t="s">
        <v>520</v>
      </c>
      <c r="D803" s="7" t="s">
        <v>1252</v>
      </c>
      <c r="E803" s="7" t="s">
        <v>522</v>
      </c>
      <c r="F803" s="12">
        <v>44711</v>
      </c>
      <c r="G803" s="9">
        <v>2471</v>
      </c>
      <c r="H803" s="6">
        <v>1</v>
      </c>
      <c r="I803" s="9">
        <v>2471</v>
      </c>
    </row>
    <row r="804" spans="1:9" ht="14.25">
      <c r="A804" s="6">
        <v>800</v>
      </c>
      <c r="B804" s="7" t="s">
        <v>60</v>
      </c>
      <c r="C804" s="6" t="s">
        <v>520</v>
      </c>
      <c r="D804" s="7" t="s">
        <v>1253</v>
      </c>
      <c r="E804" s="7" t="s">
        <v>522</v>
      </c>
      <c r="F804" s="12">
        <v>45589</v>
      </c>
      <c r="G804" s="9">
        <v>405</v>
      </c>
      <c r="H804" s="6">
        <v>1</v>
      </c>
      <c r="I804" s="9">
        <v>405</v>
      </c>
    </row>
    <row r="805" spans="1:9" ht="14.25">
      <c r="A805" s="6">
        <v>801</v>
      </c>
      <c r="B805" s="7" t="s">
        <v>186</v>
      </c>
      <c r="C805" s="6" t="s">
        <v>520</v>
      </c>
      <c r="D805" s="7" t="s">
        <v>1254</v>
      </c>
      <c r="E805" s="7" t="s">
        <v>522</v>
      </c>
      <c r="F805" s="12">
        <v>44293</v>
      </c>
      <c r="G805" s="9">
        <v>1300</v>
      </c>
      <c r="H805" s="6">
        <v>1</v>
      </c>
      <c r="I805" s="9">
        <v>1300</v>
      </c>
    </row>
    <row r="806" spans="1:9" ht="14.25">
      <c r="A806" s="6">
        <v>802</v>
      </c>
      <c r="B806" s="7" t="s">
        <v>151</v>
      </c>
      <c r="C806" s="6" t="s">
        <v>520</v>
      </c>
      <c r="D806" s="7" t="s">
        <v>1255</v>
      </c>
      <c r="E806" s="7" t="s">
        <v>522</v>
      </c>
      <c r="F806" s="12">
        <v>44644</v>
      </c>
      <c r="G806" s="9">
        <v>471.2</v>
      </c>
      <c r="H806" s="6">
        <v>1</v>
      </c>
      <c r="I806" s="9">
        <v>471.2</v>
      </c>
    </row>
    <row r="807" spans="1:9" ht="14.25">
      <c r="A807" s="6">
        <v>803</v>
      </c>
      <c r="B807" s="7" t="s">
        <v>151</v>
      </c>
      <c r="C807" s="6" t="s">
        <v>520</v>
      </c>
      <c r="D807" s="7" t="s">
        <v>1256</v>
      </c>
      <c r="E807" s="7" t="s">
        <v>522</v>
      </c>
      <c r="F807" s="12">
        <v>44644</v>
      </c>
      <c r="G807" s="9">
        <v>473.2</v>
      </c>
      <c r="H807" s="6">
        <v>1</v>
      </c>
      <c r="I807" s="9">
        <v>473.2</v>
      </c>
    </row>
    <row r="808" spans="1:9" ht="14.25">
      <c r="A808" s="6">
        <v>804</v>
      </c>
      <c r="B808" s="7" t="s">
        <v>151</v>
      </c>
      <c r="C808" s="6" t="s">
        <v>520</v>
      </c>
      <c r="D808" s="7" t="s">
        <v>1257</v>
      </c>
      <c r="E808" s="7" t="s">
        <v>522</v>
      </c>
      <c r="F808" s="12">
        <v>44830</v>
      </c>
      <c r="G808" s="9">
        <v>1819</v>
      </c>
      <c r="H808" s="6">
        <v>1</v>
      </c>
      <c r="I808" s="9">
        <v>1819</v>
      </c>
    </row>
    <row r="809" spans="1:9" ht="14.25">
      <c r="A809" s="6">
        <v>805</v>
      </c>
      <c r="B809" s="7" t="s">
        <v>151</v>
      </c>
      <c r="C809" s="6" t="s">
        <v>520</v>
      </c>
      <c r="D809" s="7" t="s">
        <v>1258</v>
      </c>
      <c r="E809" s="7" t="s">
        <v>522</v>
      </c>
      <c r="F809" s="12">
        <v>44901</v>
      </c>
      <c r="G809" s="9">
        <v>599</v>
      </c>
      <c r="H809" s="6">
        <v>1</v>
      </c>
      <c r="I809" s="9">
        <v>599</v>
      </c>
    </row>
    <row r="810" spans="1:9" ht="14.25">
      <c r="A810" s="6">
        <v>806</v>
      </c>
      <c r="B810" s="7" t="s">
        <v>114</v>
      </c>
      <c r="C810" s="6" t="s">
        <v>520</v>
      </c>
      <c r="D810" s="7" t="s">
        <v>1259</v>
      </c>
      <c r="E810" s="7" t="s">
        <v>522</v>
      </c>
      <c r="F810" s="12">
        <v>43417</v>
      </c>
      <c r="G810" s="9">
        <v>590</v>
      </c>
      <c r="H810" s="6">
        <v>2</v>
      </c>
      <c r="I810" s="9">
        <v>295</v>
      </c>
    </row>
    <row r="811" spans="1:9" ht="14.25">
      <c r="A811" s="6">
        <v>807</v>
      </c>
      <c r="B811" s="7" t="s">
        <v>114</v>
      </c>
      <c r="C811" s="6" t="s">
        <v>520</v>
      </c>
      <c r="D811" s="7" t="s">
        <v>1260</v>
      </c>
      <c r="E811" s="7" t="s">
        <v>522</v>
      </c>
      <c r="F811" s="12">
        <v>44169</v>
      </c>
      <c r="G811" s="9">
        <v>381</v>
      </c>
      <c r="H811" s="6">
        <v>1</v>
      </c>
      <c r="I811" s="9">
        <v>381</v>
      </c>
    </row>
    <row r="812" spans="1:9" ht="14.25">
      <c r="A812" s="6">
        <v>808</v>
      </c>
      <c r="B812" s="7" t="s">
        <v>114</v>
      </c>
      <c r="C812" s="6" t="s">
        <v>520</v>
      </c>
      <c r="D812" s="7" t="s">
        <v>730</v>
      </c>
      <c r="E812" s="7" t="s">
        <v>522</v>
      </c>
      <c r="F812" s="12">
        <v>44589</v>
      </c>
      <c r="G812" s="9">
        <v>1539.1</v>
      </c>
      <c r="H812" s="6">
        <v>2</v>
      </c>
      <c r="I812" s="9">
        <v>769.5</v>
      </c>
    </row>
    <row r="813" spans="1:9" ht="14.25">
      <c r="A813" s="6">
        <v>809</v>
      </c>
      <c r="B813" s="7" t="s">
        <v>114</v>
      </c>
      <c r="C813" s="6" t="s">
        <v>520</v>
      </c>
      <c r="D813" s="7" t="s">
        <v>1261</v>
      </c>
      <c r="E813" s="7" t="s">
        <v>522</v>
      </c>
      <c r="F813" s="12">
        <v>44564</v>
      </c>
      <c r="G813" s="9">
        <v>1403.1</v>
      </c>
      <c r="H813" s="6">
        <v>1</v>
      </c>
      <c r="I813" s="9">
        <v>1403.1</v>
      </c>
    </row>
    <row r="814" spans="1:9" ht="14.25">
      <c r="A814" s="6">
        <v>810</v>
      </c>
      <c r="B814" s="7" t="s">
        <v>114</v>
      </c>
      <c r="C814" s="6" t="s">
        <v>520</v>
      </c>
      <c r="D814" s="7" t="s">
        <v>1262</v>
      </c>
      <c r="E814" s="7" t="s">
        <v>522</v>
      </c>
      <c r="F814" s="12">
        <v>44565</v>
      </c>
      <c r="G814" s="9">
        <v>2820.5</v>
      </c>
      <c r="H814" s="6">
        <v>1</v>
      </c>
      <c r="I814" s="9">
        <v>2820.5</v>
      </c>
    </row>
    <row r="815" spans="1:9" ht="14.25">
      <c r="A815" s="6">
        <v>811</v>
      </c>
      <c r="B815" s="7" t="s">
        <v>114</v>
      </c>
      <c r="C815" s="6" t="s">
        <v>536</v>
      </c>
      <c r="D815" s="7" t="s">
        <v>1263</v>
      </c>
      <c r="E815" s="7" t="s">
        <v>522</v>
      </c>
      <c r="F815" s="12">
        <v>44750</v>
      </c>
      <c r="G815" s="9">
        <v>1222</v>
      </c>
      <c r="H815" s="6">
        <v>2</v>
      </c>
      <c r="I815" s="9">
        <v>611</v>
      </c>
    </row>
    <row r="816" spans="1:9" ht="14.25">
      <c r="A816" s="6">
        <v>812</v>
      </c>
      <c r="B816" s="7" t="s">
        <v>252</v>
      </c>
      <c r="C816" s="6" t="s">
        <v>520</v>
      </c>
      <c r="D816" s="7" t="s">
        <v>1264</v>
      </c>
      <c r="E816" s="7" t="s">
        <v>522</v>
      </c>
      <c r="F816" s="12">
        <v>44487</v>
      </c>
      <c r="G816" s="9">
        <v>31</v>
      </c>
      <c r="H816" s="6">
        <v>1</v>
      </c>
      <c r="I816" s="9">
        <v>31</v>
      </c>
    </row>
    <row r="817" spans="1:9" ht="14.25">
      <c r="A817" s="6">
        <v>813</v>
      </c>
      <c r="B817" s="7" t="s">
        <v>252</v>
      </c>
      <c r="C817" s="6" t="s">
        <v>520</v>
      </c>
      <c r="D817" s="7" t="s">
        <v>1265</v>
      </c>
      <c r="E817" s="7" t="s">
        <v>528</v>
      </c>
      <c r="F817" s="12">
        <v>44259</v>
      </c>
      <c r="G817" s="9">
        <v>60</v>
      </c>
      <c r="H817" s="6">
        <v>1</v>
      </c>
      <c r="I817" s="9">
        <v>60</v>
      </c>
    </row>
    <row r="818" spans="1:9" ht="14.25">
      <c r="A818" s="6">
        <v>814</v>
      </c>
      <c r="B818" s="7" t="s">
        <v>252</v>
      </c>
      <c r="C818" s="6" t="s">
        <v>520</v>
      </c>
      <c r="D818" s="7" t="s">
        <v>792</v>
      </c>
      <c r="E818" s="7" t="s">
        <v>522</v>
      </c>
      <c r="F818" s="12">
        <v>44565</v>
      </c>
      <c r="G818" s="9">
        <v>130</v>
      </c>
      <c r="H818" s="6">
        <v>2</v>
      </c>
      <c r="I818" s="9">
        <v>65</v>
      </c>
    </row>
    <row r="819" spans="1:9" ht="14.25">
      <c r="A819" s="6">
        <v>815</v>
      </c>
      <c r="B819" s="7" t="s">
        <v>252</v>
      </c>
      <c r="C819" s="6" t="s">
        <v>520</v>
      </c>
      <c r="D819" s="7" t="s">
        <v>1266</v>
      </c>
      <c r="E819" s="7" t="s">
        <v>522</v>
      </c>
      <c r="F819" s="12">
        <v>44694</v>
      </c>
      <c r="G819" s="9">
        <v>855</v>
      </c>
      <c r="H819" s="6">
        <v>1</v>
      </c>
      <c r="I819" s="9">
        <v>855</v>
      </c>
    </row>
    <row r="820" spans="1:9" ht="14.25">
      <c r="A820" s="6">
        <v>816</v>
      </c>
      <c r="B820" s="7" t="s">
        <v>252</v>
      </c>
      <c r="C820" s="6" t="s">
        <v>520</v>
      </c>
      <c r="D820" s="7" t="s">
        <v>1267</v>
      </c>
      <c r="E820" s="7" t="s">
        <v>522</v>
      </c>
      <c r="F820" s="12">
        <v>45223</v>
      </c>
      <c r="G820" s="9">
        <v>215</v>
      </c>
      <c r="H820" s="6">
        <v>1</v>
      </c>
      <c r="I820" s="9">
        <v>215</v>
      </c>
    </row>
    <row r="821" spans="1:9" ht="14.25">
      <c r="A821" s="6">
        <v>817</v>
      </c>
      <c r="B821" s="7" t="s">
        <v>490</v>
      </c>
      <c r="C821" s="6" t="s">
        <v>520</v>
      </c>
      <c r="D821" s="7" t="s">
        <v>659</v>
      </c>
      <c r="E821" s="7" t="s">
        <v>522</v>
      </c>
      <c r="F821" s="12">
        <v>44545</v>
      </c>
      <c r="G821" s="9">
        <v>100</v>
      </c>
      <c r="H821" s="6">
        <v>2</v>
      </c>
      <c r="I821" s="9">
        <v>50</v>
      </c>
    </row>
    <row r="822" spans="1:9" ht="14.25">
      <c r="A822" s="6">
        <v>818</v>
      </c>
      <c r="B822" s="7" t="s">
        <v>490</v>
      </c>
      <c r="C822" s="6" t="s">
        <v>520</v>
      </c>
      <c r="D822" s="7" t="s">
        <v>660</v>
      </c>
      <c r="E822" s="7" t="s">
        <v>522</v>
      </c>
      <c r="F822" s="12">
        <v>44707</v>
      </c>
      <c r="G822" s="9">
        <v>103</v>
      </c>
      <c r="H822" s="6">
        <v>2</v>
      </c>
      <c r="I822" s="9">
        <v>51.5</v>
      </c>
    </row>
    <row r="823" spans="1:9" ht="14.25">
      <c r="A823" s="6">
        <v>819</v>
      </c>
      <c r="B823" s="7" t="s">
        <v>484</v>
      </c>
      <c r="C823" s="6" t="s">
        <v>536</v>
      </c>
      <c r="D823" s="7" t="s">
        <v>803</v>
      </c>
      <c r="E823" s="7" t="s">
        <v>522</v>
      </c>
      <c r="F823" s="12">
        <v>45377</v>
      </c>
      <c r="G823" s="9">
        <v>121</v>
      </c>
      <c r="H823" s="6">
        <v>2</v>
      </c>
      <c r="I823" s="9">
        <v>60.5</v>
      </c>
    </row>
    <row r="824" spans="1:9" ht="14.25">
      <c r="A824" s="6">
        <v>820</v>
      </c>
      <c r="B824" s="7" t="s">
        <v>458</v>
      </c>
      <c r="C824" s="6" t="s">
        <v>520</v>
      </c>
      <c r="D824" s="7" t="s">
        <v>1268</v>
      </c>
      <c r="E824" s="7" t="s">
        <v>522</v>
      </c>
      <c r="F824" s="12">
        <v>44679</v>
      </c>
      <c r="G824" s="9">
        <v>205</v>
      </c>
      <c r="H824" s="6">
        <v>2</v>
      </c>
      <c r="I824" s="9">
        <v>102.5</v>
      </c>
    </row>
    <row r="825" spans="1:9" ht="14.25">
      <c r="A825" s="6">
        <v>821</v>
      </c>
      <c r="B825" s="7" t="s">
        <v>407</v>
      </c>
      <c r="C825" s="6" t="s">
        <v>520</v>
      </c>
      <c r="D825" s="7" t="s">
        <v>1269</v>
      </c>
      <c r="E825" s="7" t="s">
        <v>528</v>
      </c>
      <c r="F825" s="12">
        <v>44356</v>
      </c>
      <c r="G825" s="9">
        <v>200</v>
      </c>
      <c r="H825" s="6">
        <v>1</v>
      </c>
      <c r="I825" s="9">
        <v>200</v>
      </c>
    </row>
    <row r="826" spans="1:9" ht="14.25">
      <c r="A826" s="6">
        <v>822</v>
      </c>
      <c r="B826" s="7" t="s">
        <v>407</v>
      </c>
      <c r="C826" s="6" t="s">
        <v>520</v>
      </c>
      <c r="D826" s="7" t="s">
        <v>1270</v>
      </c>
      <c r="E826" s="7" t="s">
        <v>528</v>
      </c>
      <c r="F826" s="12">
        <v>44356</v>
      </c>
      <c r="G826" s="9">
        <v>207</v>
      </c>
      <c r="H826" s="6">
        <v>1</v>
      </c>
      <c r="I826" s="9">
        <v>207</v>
      </c>
    </row>
    <row r="827" spans="1:9" ht="14.25">
      <c r="A827" s="6">
        <v>823</v>
      </c>
      <c r="B827" s="7" t="s">
        <v>341</v>
      </c>
      <c r="C827" s="6" t="s">
        <v>536</v>
      </c>
      <c r="D827" s="7" t="s">
        <v>1271</v>
      </c>
      <c r="E827" s="7" t="s">
        <v>522</v>
      </c>
      <c r="F827" s="12">
        <v>44166</v>
      </c>
      <c r="G827" s="9">
        <v>414</v>
      </c>
      <c r="H827" s="6">
        <v>2</v>
      </c>
      <c r="I827" s="9">
        <v>207</v>
      </c>
    </row>
    <row r="828" spans="1:9" ht="14.25">
      <c r="A828" s="6">
        <v>824</v>
      </c>
      <c r="B828" s="7" t="s">
        <v>341</v>
      </c>
      <c r="C828" s="6" t="s">
        <v>520</v>
      </c>
      <c r="D828" s="7" t="s">
        <v>1272</v>
      </c>
      <c r="E828" s="7" t="s">
        <v>522</v>
      </c>
      <c r="F828" s="12">
        <v>44456</v>
      </c>
      <c r="G828" s="9">
        <v>500</v>
      </c>
      <c r="H828" s="6">
        <v>1</v>
      </c>
      <c r="I828" s="9">
        <v>500</v>
      </c>
    </row>
    <row r="829" spans="1:9" ht="14.25">
      <c r="A829" s="6">
        <v>825</v>
      </c>
      <c r="B829" s="7" t="s">
        <v>167</v>
      </c>
      <c r="C829" s="6" t="s">
        <v>520</v>
      </c>
      <c r="D829" s="7" t="s">
        <v>1273</v>
      </c>
      <c r="E829" s="7" t="s">
        <v>522</v>
      </c>
      <c r="F829" s="12">
        <v>43304</v>
      </c>
      <c r="G829" s="9">
        <v>563.4</v>
      </c>
      <c r="H829" s="6">
        <v>1</v>
      </c>
      <c r="I829" s="9">
        <v>563.4</v>
      </c>
    </row>
    <row r="830" spans="1:9" ht="14.25">
      <c r="A830" s="6">
        <v>826</v>
      </c>
      <c r="B830" s="7" t="s">
        <v>167</v>
      </c>
      <c r="C830" s="6" t="s">
        <v>520</v>
      </c>
      <c r="D830" s="7" t="s">
        <v>1274</v>
      </c>
      <c r="E830" s="7" t="s">
        <v>522</v>
      </c>
      <c r="F830" s="12">
        <v>43670</v>
      </c>
      <c r="G830" s="9">
        <v>250</v>
      </c>
      <c r="H830" s="6">
        <v>1</v>
      </c>
      <c r="I830" s="9">
        <v>250</v>
      </c>
    </row>
    <row r="831" spans="1:9" ht="14.25">
      <c r="A831" s="6">
        <v>827</v>
      </c>
      <c r="B831" s="7" t="s">
        <v>167</v>
      </c>
      <c r="C831" s="6" t="s">
        <v>520</v>
      </c>
      <c r="D831" s="7" t="s">
        <v>1271</v>
      </c>
      <c r="E831" s="7" t="s">
        <v>522</v>
      </c>
      <c r="F831" s="12">
        <v>44166</v>
      </c>
      <c r="G831" s="9">
        <v>414</v>
      </c>
      <c r="H831" s="6">
        <v>2</v>
      </c>
      <c r="I831" s="9">
        <v>207</v>
      </c>
    </row>
    <row r="832" spans="1:9" ht="14.25">
      <c r="A832" s="6">
        <v>828</v>
      </c>
      <c r="B832" s="7" t="s">
        <v>167</v>
      </c>
      <c r="C832" s="6" t="s">
        <v>520</v>
      </c>
      <c r="D832" s="7" t="s">
        <v>1275</v>
      </c>
      <c r="E832" s="7" t="s">
        <v>522</v>
      </c>
      <c r="F832" s="12">
        <v>44078</v>
      </c>
      <c r="G832" s="9">
        <v>861</v>
      </c>
      <c r="H832" s="6">
        <v>1</v>
      </c>
      <c r="I832" s="9">
        <v>861</v>
      </c>
    </row>
    <row r="833" spans="1:9" ht="14.25">
      <c r="A833" s="6">
        <v>829</v>
      </c>
      <c r="B833" s="7" t="s">
        <v>167</v>
      </c>
      <c r="C833" s="6" t="s">
        <v>520</v>
      </c>
      <c r="D833" s="7" t="s">
        <v>1276</v>
      </c>
      <c r="E833" s="7" t="s">
        <v>522</v>
      </c>
      <c r="F833" s="12">
        <v>44361</v>
      </c>
      <c r="G833" s="9">
        <v>383</v>
      </c>
      <c r="H833" s="6">
        <v>1</v>
      </c>
      <c r="I833" s="9">
        <v>383</v>
      </c>
    </row>
    <row r="834" spans="1:9" ht="14.25">
      <c r="A834" s="6">
        <v>830</v>
      </c>
      <c r="B834" s="7" t="s">
        <v>167</v>
      </c>
      <c r="C834" s="6" t="s">
        <v>520</v>
      </c>
      <c r="D834" s="7" t="s">
        <v>1277</v>
      </c>
      <c r="E834" s="7" t="s">
        <v>522</v>
      </c>
      <c r="F834" s="12">
        <v>44286</v>
      </c>
      <c r="G834" s="9">
        <v>201</v>
      </c>
      <c r="H834" s="6">
        <v>1</v>
      </c>
      <c r="I834" s="9">
        <v>201</v>
      </c>
    </row>
    <row r="835" spans="1:9" ht="14.25">
      <c r="A835" s="6">
        <v>831</v>
      </c>
      <c r="B835" s="7" t="s">
        <v>167</v>
      </c>
      <c r="C835" s="6" t="s">
        <v>520</v>
      </c>
      <c r="D835" s="7" t="s">
        <v>1278</v>
      </c>
      <c r="E835" s="7" t="s">
        <v>522</v>
      </c>
      <c r="F835" s="12">
        <v>44312</v>
      </c>
      <c r="G835" s="9">
        <v>1401</v>
      </c>
      <c r="H835" s="6">
        <v>1</v>
      </c>
      <c r="I835" s="9">
        <v>1401</v>
      </c>
    </row>
    <row r="836" spans="1:9" ht="14.25">
      <c r="A836" s="6">
        <v>832</v>
      </c>
      <c r="B836" s="7" t="s">
        <v>167</v>
      </c>
      <c r="C836" s="6" t="s">
        <v>520</v>
      </c>
      <c r="D836" s="7" t="s">
        <v>1279</v>
      </c>
      <c r="E836" s="7" t="s">
        <v>522</v>
      </c>
      <c r="F836" s="12">
        <v>44383</v>
      </c>
      <c r="G836" s="9">
        <v>351</v>
      </c>
      <c r="H836" s="6">
        <v>1</v>
      </c>
      <c r="I836" s="9">
        <v>351</v>
      </c>
    </row>
    <row r="837" spans="1:9" ht="14.25">
      <c r="A837" s="6">
        <v>833</v>
      </c>
      <c r="B837" s="7" t="s">
        <v>167</v>
      </c>
      <c r="C837" s="6" t="s">
        <v>520</v>
      </c>
      <c r="D837" s="7" t="s">
        <v>1280</v>
      </c>
      <c r="E837" s="7" t="s">
        <v>522</v>
      </c>
      <c r="F837" s="12">
        <v>44589</v>
      </c>
      <c r="G837" s="9">
        <v>282</v>
      </c>
      <c r="H837" s="6">
        <v>1</v>
      </c>
      <c r="I837" s="9">
        <v>282</v>
      </c>
    </row>
    <row r="838" spans="1:9" ht="14.25">
      <c r="A838" s="6">
        <v>834</v>
      </c>
      <c r="B838" s="7" t="s">
        <v>167</v>
      </c>
      <c r="C838" s="6" t="s">
        <v>520</v>
      </c>
      <c r="D838" s="7" t="s">
        <v>1281</v>
      </c>
      <c r="E838" s="7" t="s">
        <v>522</v>
      </c>
      <c r="F838" s="12">
        <v>44720</v>
      </c>
      <c r="G838" s="9">
        <v>281</v>
      </c>
      <c r="H838" s="6">
        <v>1</v>
      </c>
      <c r="I838" s="9">
        <v>281</v>
      </c>
    </row>
    <row r="839" spans="1:9" ht="14.25">
      <c r="A839" s="6">
        <v>835</v>
      </c>
      <c r="B839" s="7" t="s">
        <v>167</v>
      </c>
      <c r="C839" s="6" t="s">
        <v>520</v>
      </c>
      <c r="D839" s="7" t="s">
        <v>1282</v>
      </c>
      <c r="E839" s="7" t="s">
        <v>522</v>
      </c>
      <c r="F839" s="12">
        <v>45205</v>
      </c>
      <c r="G839" s="9">
        <v>1620</v>
      </c>
      <c r="H839" s="6">
        <v>1</v>
      </c>
      <c r="I839" s="9">
        <v>1620</v>
      </c>
    </row>
    <row r="840" spans="1:9" ht="14.25">
      <c r="A840" s="6">
        <v>836</v>
      </c>
      <c r="B840" s="7" t="s">
        <v>167</v>
      </c>
      <c r="C840" s="6" t="s">
        <v>520</v>
      </c>
      <c r="D840" s="7" t="s">
        <v>1283</v>
      </c>
      <c r="E840" s="7" t="s">
        <v>522</v>
      </c>
      <c r="F840" s="12">
        <v>45246</v>
      </c>
      <c r="G840" s="9">
        <v>221</v>
      </c>
      <c r="H840" s="6">
        <v>1</v>
      </c>
      <c r="I840" s="9">
        <v>221</v>
      </c>
    </row>
    <row r="841" spans="1:9" ht="14.25">
      <c r="A841" s="6">
        <v>837</v>
      </c>
      <c r="B841" s="7" t="s">
        <v>167</v>
      </c>
      <c r="C841" s="6" t="s">
        <v>520</v>
      </c>
      <c r="D841" s="7" t="s">
        <v>1284</v>
      </c>
      <c r="E841" s="7" t="s">
        <v>522</v>
      </c>
      <c r="F841" s="12">
        <v>45089</v>
      </c>
      <c r="G841" s="9">
        <v>1071</v>
      </c>
      <c r="H841" s="6">
        <v>1</v>
      </c>
      <c r="I841" s="9">
        <v>1071</v>
      </c>
    </row>
    <row r="842" spans="1:9" ht="14.25">
      <c r="A842" s="6">
        <v>838</v>
      </c>
      <c r="B842" s="7" t="s">
        <v>167</v>
      </c>
      <c r="C842" s="6" t="s">
        <v>520</v>
      </c>
      <c r="D842" s="7" t="s">
        <v>1285</v>
      </c>
      <c r="E842" s="7" t="s">
        <v>522</v>
      </c>
      <c r="F842" s="12">
        <v>45383</v>
      </c>
      <c r="G842" s="9">
        <v>150</v>
      </c>
      <c r="H842" s="6">
        <v>1</v>
      </c>
      <c r="I842" s="9">
        <v>150</v>
      </c>
    </row>
    <row r="843" spans="1:9" ht="14.25">
      <c r="A843" s="6">
        <v>839</v>
      </c>
      <c r="B843" s="7" t="s">
        <v>167</v>
      </c>
      <c r="C843" s="6" t="s">
        <v>520</v>
      </c>
      <c r="D843" s="7" t="s">
        <v>1286</v>
      </c>
      <c r="E843" s="7" t="s">
        <v>522</v>
      </c>
      <c r="F843" s="12">
        <v>45378</v>
      </c>
      <c r="G843" s="9">
        <v>841</v>
      </c>
      <c r="H843" s="6">
        <v>1</v>
      </c>
      <c r="I843" s="9">
        <v>841</v>
      </c>
    </row>
    <row r="844" spans="1:9" ht="14.25">
      <c r="A844" s="6">
        <v>840</v>
      </c>
      <c r="B844" s="7" t="s">
        <v>392</v>
      </c>
      <c r="C844" s="6" t="s">
        <v>520</v>
      </c>
      <c r="D844" s="7" t="s">
        <v>1287</v>
      </c>
      <c r="E844" s="7" t="s">
        <v>522</v>
      </c>
      <c r="F844" s="12">
        <v>44666</v>
      </c>
      <c r="G844" s="9">
        <v>233</v>
      </c>
      <c r="H844" s="6">
        <v>1</v>
      </c>
      <c r="I844" s="9">
        <v>233</v>
      </c>
    </row>
    <row r="845" spans="1:9" ht="14.25">
      <c r="A845" s="6">
        <v>841</v>
      </c>
      <c r="B845" s="7" t="s">
        <v>488</v>
      </c>
      <c r="C845" s="6" t="s">
        <v>536</v>
      </c>
      <c r="D845" s="7" t="s">
        <v>790</v>
      </c>
      <c r="E845" s="7" t="s">
        <v>522</v>
      </c>
      <c r="F845" s="12">
        <v>44533</v>
      </c>
      <c r="G845" s="9">
        <v>111.1</v>
      </c>
      <c r="H845" s="6">
        <v>2</v>
      </c>
      <c r="I845" s="9">
        <v>55.6</v>
      </c>
    </row>
    <row r="846" spans="1:9" ht="14.25">
      <c r="A846" s="6">
        <v>842</v>
      </c>
      <c r="B846" s="7" t="s">
        <v>82</v>
      </c>
      <c r="C846" s="6" t="s">
        <v>520</v>
      </c>
      <c r="D846" s="7" t="s">
        <v>1288</v>
      </c>
      <c r="E846" s="7" t="s">
        <v>522</v>
      </c>
      <c r="F846" s="12">
        <v>41306</v>
      </c>
      <c r="G846" s="9">
        <v>3635.4</v>
      </c>
      <c r="H846" s="6">
        <v>1</v>
      </c>
      <c r="I846" s="9">
        <v>3635.4</v>
      </c>
    </row>
    <row r="847" spans="1:9" ht="14.25">
      <c r="A847" s="6">
        <v>843</v>
      </c>
      <c r="B847" s="7" t="s">
        <v>82</v>
      </c>
      <c r="C847" s="6" t="s">
        <v>520</v>
      </c>
      <c r="D847" s="7" t="s">
        <v>1289</v>
      </c>
      <c r="E847" s="7" t="s">
        <v>522</v>
      </c>
      <c r="F847" s="12">
        <v>42942</v>
      </c>
      <c r="G847" s="9">
        <v>110</v>
      </c>
      <c r="H847" s="6">
        <v>1</v>
      </c>
      <c r="I847" s="9">
        <v>110</v>
      </c>
    </row>
    <row r="848" spans="1:9" ht="14.25">
      <c r="A848" s="6">
        <v>844</v>
      </c>
      <c r="B848" s="7" t="s">
        <v>82</v>
      </c>
      <c r="C848" s="6" t="s">
        <v>520</v>
      </c>
      <c r="D848" s="7" t="s">
        <v>1290</v>
      </c>
      <c r="E848" s="7" t="s">
        <v>544</v>
      </c>
      <c r="F848" s="12">
        <v>42984</v>
      </c>
      <c r="G848" s="9">
        <v>204.9</v>
      </c>
      <c r="H848" s="6">
        <v>1</v>
      </c>
      <c r="I848" s="9">
        <v>204.9</v>
      </c>
    </row>
    <row r="849" spans="1:9" ht="14.25">
      <c r="A849" s="6">
        <v>845</v>
      </c>
      <c r="B849" s="7" t="s">
        <v>82</v>
      </c>
      <c r="C849" s="6" t="s">
        <v>520</v>
      </c>
      <c r="D849" s="7" t="s">
        <v>1291</v>
      </c>
      <c r="E849" s="7" t="s">
        <v>522</v>
      </c>
      <c r="F849" s="12">
        <v>42783</v>
      </c>
      <c r="G849" s="9">
        <v>204.6</v>
      </c>
      <c r="H849" s="6">
        <v>1</v>
      </c>
      <c r="I849" s="9">
        <v>204.6</v>
      </c>
    </row>
    <row r="850" spans="1:9" ht="14.25">
      <c r="A850" s="6">
        <v>846</v>
      </c>
      <c r="B850" s="7" t="s">
        <v>82</v>
      </c>
      <c r="C850" s="6" t="s">
        <v>520</v>
      </c>
      <c r="D850" s="7" t="s">
        <v>1292</v>
      </c>
      <c r="E850" s="7" t="s">
        <v>522</v>
      </c>
      <c r="F850" s="12">
        <v>43168</v>
      </c>
      <c r="G850" s="9">
        <v>105</v>
      </c>
      <c r="H850" s="6">
        <v>1</v>
      </c>
      <c r="I850" s="9">
        <v>105</v>
      </c>
    </row>
    <row r="851" spans="1:9" ht="14.25">
      <c r="A851" s="6">
        <v>847</v>
      </c>
      <c r="B851" s="7" t="s">
        <v>82</v>
      </c>
      <c r="C851" s="6" t="s">
        <v>520</v>
      </c>
      <c r="D851" s="7" t="s">
        <v>1293</v>
      </c>
      <c r="E851" s="7" t="s">
        <v>522</v>
      </c>
      <c r="F851" s="12">
        <v>43538</v>
      </c>
      <c r="G851" s="9">
        <v>23</v>
      </c>
      <c r="H851" s="6">
        <v>1</v>
      </c>
      <c r="I851" s="9">
        <v>23</v>
      </c>
    </row>
    <row r="852" spans="1:9" ht="14.25">
      <c r="A852" s="6">
        <v>848</v>
      </c>
      <c r="B852" s="7" t="s">
        <v>82</v>
      </c>
      <c r="C852" s="6" t="s">
        <v>520</v>
      </c>
      <c r="D852" s="7" t="s">
        <v>1294</v>
      </c>
      <c r="E852" s="7" t="s">
        <v>522</v>
      </c>
      <c r="F852" s="12">
        <v>43651</v>
      </c>
      <c r="G852" s="9">
        <v>1362.4</v>
      </c>
      <c r="H852" s="6">
        <v>1</v>
      </c>
      <c r="I852" s="9">
        <v>1362.4</v>
      </c>
    </row>
    <row r="853" spans="1:9" ht="14.25">
      <c r="A853" s="6">
        <v>849</v>
      </c>
      <c r="B853" s="7" t="s">
        <v>82</v>
      </c>
      <c r="C853" s="6" t="s">
        <v>520</v>
      </c>
      <c r="D853" s="7" t="s">
        <v>1295</v>
      </c>
      <c r="E853" s="7" t="s">
        <v>522</v>
      </c>
      <c r="F853" s="12">
        <v>44257</v>
      </c>
      <c r="G853" s="9">
        <v>3781</v>
      </c>
      <c r="H853" s="6">
        <v>1</v>
      </c>
      <c r="I853" s="9">
        <v>3781</v>
      </c>
    </row>
    <row r="854" spans="1:9" ht="14.25">
      <c r="A854" s="6">
        <v>850</v>
      </c>
      <c r="B854" s="7" t="s">
        <v>82</v>
      </c>
      <c r="C854" s="6" t="s">
        <v>520</v>
      </c>
      <c r="D854" s="7" t="s">
        <v>1296</v>
      </c>
      <c r="E854" s="7" t="s">
        <v>522</v>
      </c>
      <c r="F854" s="12">
        <v>44216</v>
      </c>
      <c r="G854" s="9">
        <v>93.5</v>
      </c>
      <c r="H854" s="6">
        <v>1</v>
      </c>
      <c r="I854" s="9">
        <v>93.5</v>
      </c>
    </row>
    <row r="855" spans="1:9" ht="14.25">
      <c r="A855" s="6">
        <v>851</v>
      </c>
      <c r="B855" s="7" t="s">
        <v>82</v>
      </c>
      <c r="C855" s="6" t="s">
        <v>520</v>
      </c>
      <c r="D855" s="7" t="s">
        <v>1297</v>
      </c>
      <c r="E855" s="7" t="s">
        <v>522</v>
      </c>
      <c r="F855" s="12">
        <v>44365</v>
      </c>
      <c r="G855" s="9">
        <v>166.2</v>
      </c>
      <c r="H855" s="6">
        <v>1</v>
      </c>
      <c r="I855" s="9">
        <v>166.2</v>
      </c>
    </row>
    <row r="856" spans="1:9" ht="14.25">
      <c r="A856" s="6">
        <v>852</v>
      </c>
      <c r="B856" s="7" t="s">
        <v>82</v>
      </c>
      <c r="C856" s="6" t="s">
        <v>520</v>
      </c>
      <c r="D856" s="7" t="s">
        <v>1298</v>
      </c>
      <c r="E856" s="7" t="s">
        <v>522</v>
      </c>
      <c r="F856" s="12">
        <v>44201</v>
      </c>
      <c r="G856" s="9">
        <v>300</v>
      </c>
      <c r="H856" s="6">
        <v>1</v>
      </c>
      <c r="I856" s="9">
        <v>300</v>
      </c>
    </row>
    <row r="857" spans="1:9" ht="14.25">
      <c r="A857" s="6">
        <v>853</v>
      </c>
      <c r="B857" s="7" t="s">
        <v>82</v>
      </c>
      <c r="C857" s="6" t="s">
        <v>520</v>
      </c>
      <c r="D857" s="7" t="s">
        <v>1299</v>
      </c>
      <c r="E857" s="7" t="s">
        <v>528</v>
      </c>
      <c r="F857" s="12">
        <v>44312</v>
      </c>
      <c r="G857" s="9">
        <v>415.5</v>
      </c>
      <c r="H857" s="6">
        <v>1</v>
      </c>
      <c r="I857" s="9">
        <v>415.5</v>
      </c>
    </row>
    <row r="858" spans="1:9" ht="14.25">
      <c r="A858" s="6">
        <v>854</v>
      </c>
      <c r="B858" s="7" t="s">
        <v>82</v>
      </c>
      <c r="C858" s="6" t="s">
        <v>520</v>
      </c>
      <c r="D858" s="7" t="s">
        <v>1300</v>
      </c>
      <c r="E858" s="7" t="s">
        <v>522</v>
      </c>
      <c r="F858" s="12">
        <v>44617</v>
      </c>
      <c r="G858" s="9">
        <v>1225.0999999999999</v>
      </c>
      <c r="H858" s="6">
        <v>1</v>
      </c>
      <c r="I858" s="9">
        <v>1225.0999999999999</v>
      </c>
    </row>
    <row r="859" spans="1:9" ht="14.25">
      <c r="A859" s="6">
        <v>855</v>
      </c>
      <c r="B859" s="7" t="s">
        <v>128</v>
      </c>
      <c r="C859" s="6" t="s">
        <v>520</v>
      </c>
      <c r="D859" s="7" t="s">
        <v>1301</v>
      </c>
      <c r="E859" s="7" t="s">
        <v>522</v>
      </c>
      <c r="F859" s="12">
        <v>43567</v>
      </c>
      <c r="G859" s="9">
        <v>1005</v>
      </c>
      <c r="H859" s="6">
        <v>1</v>
      </c>
      <c r="I859" s="9">
        <v>1005</v>
      </c>
    </row>
    <row r="860" spans="1:9" ht="14.25">
      <c r="A860" s="6">
        <v>856</v>
      </c>
      <c r="B860" s="7" t="s">
        <v>128</v>
      </c>
      <c r="C860" s="6" t="s">
        <v>520</v>
      </c>
      <c r="D860" s="7" t="s">
        <v>1302</v>
      </c>
      <c r="E860" s="7" t="s">
        <v>522</v>
      </c>
      <c r="F860" s="12">
        <v>44398</v>
      </c>
      <c r="G860" s="9">
        <v>1850</v>
      </c>
      <c r="H860" s="6">
        <v>1</v>
      </c>
      <c r="I860" s="9">
        <v>1850</v>
      </c>
    </row>
    <row r="861" spans="1:9" ht="14.25">
      <c r="A861" s="6">
        <v>857</v>
      </c>
      <c r="B861" s="7" t="s">
        <v>128</v>
      </c>
      <c r="C861" s="6" t="s">
        <v>520</v>
      </c>
      <c r="D861" s="7" t="s">
        <v>1303</v>
      </c>
      <c r="E861" s="7" t="s">
        <v>522</v>
      </c>
      <c r="F861" s="12">
        <v>44453</v>
      </c>
      <c r="G861" s="9">
        <v>1685</v>
      </c>
      <c r="H861" s="6">
        <v>1</v>
      </c>
      <c r="I861" s="9">
        <v>1685</v>
      </c>
    </row>
    <row r="862" spans="1:9" ht="14.25">
      <c r="A862" s="6">
        <v>858</v>
      </c>
      <c r="B862" s="7" t="s">
        <v>128</v>
      </c>
      <c r="C862" s="6" t="s">
        <v>520</v>
      </c>
      <c r="D862" s="7" t="s">
        <v>1304</v>
      </c>
      <c r="E862" s="7" t="s">
        <v>522</v>
      </c>
      <c r="F862" s="12">
        <v>44671</v>
      </c>
      <c r="G862" s="9">
        <v>202</v>
      </c>
      <c r="H862" s="6">
        <v>2</v>
      </c>
      <c r="I862" s="9">
        <v>101</v>
      </c>
    </row>
    <row r="863" spans="1:9" ht="14.25">
      <c r="A863" s="6">
        <v>859</v>
      </c>
      <c r="B863" s="7" t="s">
        <v>128</v>
      </c>
      <c r="C863" s="6" t="s">
        <v>520</v>
      </c>
      <c r="D863" s="7" t="s">
        <v>685</v>
      </c>
      <c r="E863" s="7" t="s">
        <v>522</v>
      </c>
      <c r="F863" s="12">
        <v>45233</v>
      </c>
      <c r="G863" s="9">
        <v>420</v>
      </c>
      <c r="H863" s="6">
        <v>2</v>
      </c>
      <c r="I863" s="9">
        <v>210</v>
      </c>
    </row>
    <row r="864" spans="1:9" ht="14.25">
      <c r="A864" s="6">
        <v>860</v>
      </c>
      <c r="B864" s="7" t="s">
        <v>128</v>
      </c>
      <c r="C864" s="6" t="s">
        <v>520</v>
      </c>
      <c r="D864" s="7" t="s">
        <v>1305</v>
      </c>
      <c r="E864" s="7" t="s">
        <v>522</v>
      </c>
      <c r="F864" s="12">
        <v>45434</v>
      </c>
      <c r="G864" s="9">
        <v>1400</v>
      </c>
      <c r="H864" s="6">
        <v>1</v>
      </c>
      <c r="I864" s="9">
        <v>1400</v>
      </c>
    </row>
    <row r="865" spans="1:9" ht="14.25">
      <c r="A865" s="6">
        <v>861</v>
      </c>
      <c r="B865" s="7" t="s">
        <v>128</v>
      </c>
      <c r="C865" s="6" t="s">
        <v>520</v>
      </c>
      <c r="D865" s="7" t="s">
        <v>1306</v>
      </c>
      <c r="E865" s="7" t="s">
        <v>522</v>
      </c>
      <c r="F865" s="12">
        <v>45562</v>
      </c>
      <c r="G865" s="9">
        <v>2400</v>
      </c>
      <c r="H865" s="6">
        <v>1</v>
      </c>
      <c r="I865" s="9">
        <v>2400</v>
      </c>
    </row>
    <row r="866" spans="1:9" ht="14.25">
      <c r="A866" s="6">
        <v>862</v>
      </c>
      <c r="B866" s="7" t="s">
        <v>128</v>
      </c>
      <c r="C866" s="6" t="s">
        <v>520</v>
      </c>
      <c r="D866" s="7" t="s">
        <v>1307</v>
      </c>
      <c r="E866" s="7" t="s">
        <v>522</v>
      </c>
      <c r="F866" s="12">
        <v>45562</v>
      </c>
      <c r="G866" s="9">
        <v>1292.3</v>
      </c>
      <c r="H866" s="6">
        <v>1</v>
      </c>
      <c r="I866" s="9">
        <v>1292.3</v>
      </c>
    </row>
    <row r="867" spans="1:9" ht="14.25">
      <c r="A867" s="6">
        <v>863</v>
      </c>
      <c r="B867" s="7" t="s">
        <v>295</v>
      </c>
      <c r="C867" s="6" t="s">
        <v>520</v>
      </c>
      <c r="D867" s="7" t="s">
        <v>1308</v>
      </c>
      <c r="E867" s="7" t="s">
        <v>522</v>
      </c>
      <c r="F867" s="12">
        <v>43868</v>
      </c>
      <c r="G867" s="9">
        <v>200</v>
      </c>
      <c r="H867" s="6">
        <v>1</v>
      </c>
      <c r="I867" s="9">
        <v>200</v>
      </c>
    </row>
    <row r="868" spans="1:9" ht="14.25">
      <c r="A868" s="6">
        <v>864</v>
      </c>
      <c r="B868" s="7" t="s">
        <v>295</v>
      </c>
      <c r="C868" s="6" t="s">
        <v>520</v>
      </c>
      <c r="D868" s="7" t="s">
        <v>879</v>
      </c>
      <c r="E868" s="7" t="s">
        <v>522</v>
      </c>
      <c r="F868" s="12">
        <v>44344</v>
      </c>
      <c r="G868" s="9">
        <v>1320</v>
      </c>
      <c r="H868" s="6">
        <v>2</v>
      </c>
      <c r="I868" s="9">
        <v>660</v>
      </c>
    </row>
    <row r="869" spans="1:9" ht="14.25">
      <c r="A869" s="6">
        <v>865</v>
      </c>
      <c r="B869" s="7" t="s">
        <v>295</v>
      </c>
      <c r="C869" s="6" t="s">
        <v>520</v>
      </c>
      <c r="D869" s="7" t="s">
        <v>1309</v>
      </c>
      <c r="E869" s="7" t="s">
        <v>522</v>
      </c>
      <c r="F869" s="12">
        <v>44652</v>
      </c>
      <c r="G869" s="9">
        <v>83</v>
      </c>
      <c r="H869" s="6">
        <v>1</v>
      </c>
      <c r="I869" s="9">
        <v>83</v>
      </c>
    </row>
    <row r="870" spans="1:9" ht="14.25">
      <c r="A870" s="6">
        <v>866</v>
      </c>
      <c r="B870" s="7" t="s">
        <v>374</v>
      </c>
      <c r="C870" s="6" t="s">
        <v>520</v>
      </c>
      <c r="D870" s="7" t="s">
        <v>642</v>
      </c>
      <c r="E870" s="7" t="s">
        <v>522</v>
      </c>
      <c r="F870" s="12">
        <v>45239</v>
      </c>
      <c r="G870" s="9">
        <v>600</v>
      </c>
      <c r="H870" s="6">
        <v>2</v>
      </c>
      <c r="I870" s="9">
        <v>300</v>
      </c>
    </row>
    <row r="871" spans="1:9" ht="14.25">
      <c r="A871" s="6">
        <v>867</v>
      </c>
      <c r="B871" s="7" t="s">
        <v>94</v>
      </c>
      <c r="C871" s="6" t="s">
        <v>520</v>
      </c>
      <c r="D871" s="7" t="s">
        <v>1310</v>
      </c>
      <c r="E871" s="7" t="s">
        <v>522</v>
      </c>
      <c r="F871" s="12">
        <v>44889</v>
      </c>
      <c r="G871" s="9">
        <v>3511</v>
      </c>
      <c r="H871" s="6">
        <v>1</v>
      </c>
      <c r="I871" s="9">
        <v>3511</v>
      </c>
    </row>
    <row r="872" spans="1:9" ht="14.25">
      <c r="A872" s="6">
        <v>868</v>
      </c>
      <c r="B872" s="7" t="s">
        <v>40</v>
      </c>
      <c r="C872" s="6" t="s">
        <v>520</v>
      </c>
      <c r="D872" s="7" t="s">
        <v>1311</v>
      </c>
      <c r="E872" s="7" t="s">
        <v>522</v>
      </c>
      <c r="F872" s="12">
        <v>43132</v>
      </c>
      <c r="G872" s="9">
        <v>6766</v>
      </c>
      <c r="H872" s="6">
        <v>1</v>
      </c>
      <c r="I872" s="9">
        <v>6766</v>
      </c>
    </row>
    <row r="873" spans="1:9" ht="14.25">
      <c r="A873" s="6">
        <v>869</v>
      </c>
      <c r="B873" s="7" t="s">
        <v>40</v>
      </c>
      <c r="C873" s="6" t="s">
        <v>520</v>
      </c>
      <c r="D873" s="7" t="s">
        <v>1312</v>
      </c>
      <c r="E873" s="7" t="s">
        <v>522</v>
      </c>
      <c r="F873" s="12">
        <v>43724</v>
      </c>
      <c r="G873" s="9">
        <v>2190</v>
      </c>
      <c r="H873" s="6">
        <v>1</v>
      </c>
      <c r="I873" s="9">
        <v>2190</v>
      </c>
    </row>
    <row r="874" spans="1:9" ht="14.25">
      <c r="A874" s="6">
        <v>870</v>
      </c>
      <c r="B874" s="7" t="s">
        <v>40</v>
      </c>
      <c r="C874" s="6" t="s">
        <v>520</v>
      </c>
      <c r="D874" s="7" t="s">
        <v>1313</v>
      </c>
      <c r="E874" s="7" t="s">
        <v>522</v>
      </c>
      <c r="F874" s="12">
        <v>44200</v>
      </c>
      <c r="G874" s="9">
        <v>7350</v>
      </c>
      <c r="H874" s="6">
        <v>1</v>
      </c>
      <c r="I874" s="9">
        <v>7350</v>
      </c>
    </row>
    <row r="875" spans="1:9" ht="14.25">
      <c r="A875" s="6">
        <v>871</v>
      </c>
      <c r="B875" s="7" t="s">
        <v>40</v>
      </c>
      <c r="C875" s="6" t="s">
        <v>520</v>
      </c>
      <c r="D875" s="7" t="s">
        <v>1314</v>
      </c>
      <c r="E875" s="7" t="s">
        <v>522</v>
      </c>
      <c r="F875" s="12">
        <v>45621</v>
      </c>
      <c r="G875" s="9">
        <v>173</v>
      </c>
      <c r="H875" s="6">
        <v>2</v>
      </c>
      <c r="I875" s="9">
        <v>86.5</v>
      </c>
    </row>
    <row r="876" spans="1:9" ht="14.25">
      <c r="A876" s="6">
        <v>872</v>
      </c>
      <c r="B876" s="7" t="s">
        <v>413</v>
      </c>
      <c r="C876" s="6" t="s">
        <v>520</v>
      </c>
      <c r="D876" s="7" t="s">
        <v>1315</v>
      </c>
      <c r="E876" s="7" t="s">
        <v>522</v>
      </c>
      <c r="F876" s="12">
        <v>44932</v>
      </c>
      <c r="G876" s="9">
        <v>202</v>
      </c>
      <c r="H876" s="6">
        <v>1</v>
      </c>
      <c r="I876" s="9">
        <v>202</v>
      </c>
    </row>
    <row r="877" spans="1:9" ht="14.25">
      <c r="A877" s="6">
        <v>873</v>
      </c>
      <c r="B877" s="7" t="s">
        <v>413</v>
      </c>
      <c r="C877" s="6" t="s">
        <v>520</v>
      </c>
      <c r="D877" s="7" t="s">
        <v>1316</v>
      </c>
      <c r="E877" s="7" t="s">
        <v>522</v>
      </c>
      <c r="F877" s="12">
        <v>45033</v>
      </c>
      <c r="G877" s="9">
        <v>201</v>
      </c>
      <c r="H877" s="6">
        <v>1</v>
      </c>
      <c r="I877" s="9">
        <v>201</v>
      </c>
    </row>
    <row r="878" spans="1:9" ht="14.25">
      <c r="A878" s="6">
        <v>874</v>
      </c>
      <c r="B878" s="7" t="s">
        <v>413</v>
      </c>
      <c r="C878" s="6" t="s">
        <v>520</v>
      </c>
      <c r="D878" s="7" t="s">
        <v>1317</v>
      </c>
      <c r="E878" s="7" t="s">
        <v>522</v>
      </c>
      <c r="F878" s="12">
        <v>45224</v>
      </c>
      <c r="G878" s="9">
        <v>46</v>
      </c>
      <c r="H878" s="6">
        <v>1</v>
      </c>
      <c r="I878" s="9">
        <v>46</v>
      </c>
    </row>
    <row r="879" spans="1:9" ht="14.25">
      <c r="A879" s="6">
        <v>875</v>
      </c>
      <c r="B879" s="7" t="s">
        <v>413</v>
      </c>
      <c r="C879" s="6" t="s">
        <v>520</v>
      </c>
      <c r="D879" s="7" t="s">
        <v>1318</v>
      </c>
      <c r="E879" s="7" t="s">
        <v>522</v>
      </c>
      <c r="F879" s="12">
        <v>45320</v>
      </c>
      <c r="G879" s="9">
        <v>3</v>
      </c>
      <c r="H879" s="6">
        <v>1</v>
      </c>
      <c r="I879" s="9">
        <v>3</v>
      </c>
    </row>
    <row r="880" spans="1:9" ht="14.25">
      <c r="A880" s="6">
        <v>876</v>
      </c>
      <c r="B880" s="7" t="s">
        <v>413</v>
      </c>
      <c r="C880" s="6" t="s">
        <v>520</v>
      </c>
      <c r="D880" s="7" t="s">
        <v>1319</v>
      </c>
      <c r="E880" s="7" t="s">
        <v>522</v>
      </c>
      <c r="F880" s="12">
        <v>45614</v>
      </c>
      <c r="G880" s="9">
        <v>2.1</v>
      </c>
      <c r="H880" s="6">
        <v>1</v>
      </c>
      <c r="I880" s="9">
        <v>2.1</v>
      </c>
    </row>
    <row r="881" spans="1:9" ht="14.25">
      <c r="A881" s="6">
        <v>877</v>
      </c>
      <c r="B881" s="7" t="s">
        <v>413</v>
      </c>
      <c r="C881" s="6" t="s">
        <v>520</v>
      </c>
      <c r="D881" s="7" t="s">
        <v>1320</v>
      </c>
      <c r="E881" s="7" t="s">
        <v>522</v>
      </c>
      <c r="F881" s="12">
        <v>45618</v>
      </c>
      <c r="G881" s="9">
        <v>2.1</v>
      </c>
      <c r="H881" s="6">
        <v>1</v>
      </c>
      <c r="I881" s="9">
        <v>2.1</v>
      </c>
    </row>
    <row r="882" spans="1:9" ht="14.25">
      <c r="A882" s="6">
        <v>878</v>
      </c>
      <c r="B882" s="7" t="s">
        <v>413</v>
      </c>
      <c r="C882" s="6" t="s">
        <v>520</v>
      </c>
      <c r="D882" s="7" t="s">
        <v>1321</v>
      </c>
      <c r="E882" s="7" t="s">
        <v>522</v>
      </c>
      <c r="F882" s="12">
        <v>45498</v>
      </c>
      <c r="G882" s="9">
        <v>31</v>
      </c>
      <c r="H882" s="6">
        <v>1</v>
      </c>
      <c r="I882" s="9">
        <v>31</v>
      </c>
    </row>
    <row r="883" spans="1:9" ht="14.25">
      <c r="A883" s="6">
        <v>879</v>
      </c>
      <c r="B883" s="7" t="s">
        <v>413</v>
      </c>
      <c r="C883" s="6" t="s">
        <v>520</v>
      </c>
      <c r="D883" s="7" t="s">
        <v>1322</v>
      </c>
      <c r="E883" s="7" t="s">
        <v>522</v>
      </c>
      <c r="F883" s="12">
        <v>45422</v>
      </c>
      <c r="G883" s="9">
        <v>3</v>
      </c>
      <c r="H883" s="6">
        <v>1</v>
      </c>
      <c r="I883" s="9">
        <v>3</v>
      </c>
    </row>
    <row r="884" spans="1:9" ht="14.25">
      <c r="A884" s="6">
        <v>880</v>
      </c>
      <c r="B884" s="7" t="s">
        <v>333</v>
      </c>
      <c r="C884" s="6" t="s">
        <v>520</v>
      </c>
      <c r="D884" s="7" t="s">
        <v>746</v>
      </c>
      <c r="E884" s="7" t="s">
        <v>522</v>
      </c>
      <c r="F884" s="12">
        <v>45026</v>
      </c>
      <c r="G884" s="9">
        <v>1026</v>
      </c>
      <c r="H884" s="6">
        <v>2</v>
      </c>
      <c r="I884" s="9">
        <v>513</v>
      </c>
    </row>
    <row r="885" spans="1:9" ht="14.25">
      <c r="A885" s="6">
        <v>881</v>
      </c>
      <c r="B885" s="7" t="s">
        <v>403</v>
      </c>
      <c r="C885" s="6" t="s">
        <v>520</v>
      </c>
      <c r="D885" s="7" t="s">
        <v>720</v>
      </c>
      <c r="E885" s="7" t="s">
        <v>522</v>
      </c>
      <c r="F885" s="12">
        <v>44172</v>
      </c>
      <c r="G885" s="9">
        <v>222</v>
      </c>
      <c r="H885" s="6">
        <v>2</v>
      </c>
      <c r="I885" s="9">
        <v>111</v>
      </c>
    </row>
    <row r="886" spans="1:9" ht="14.25">
      <c r="A886" s="6">
        <v>882</v>
      </c>
      <c r="B886" s="7" t="s">
        <v>403</v>
      </c>
      <c r="C886" s="6" t="s">
        <v>536</v>
      </c>
      <c r="D886" s="7" t="s">
        <v>1017</v>
      </c>
      <c r="E886" s="7" t="s">
        <v>522</v>
      </c>
      <c r="F886" s="12">
        <v>45107</v>
      </c>
      <c r="G886" s="9">
        <v>127</v>
      </c>
      <c r="H886" s="6">
        <v>2</v>
      </c>
      <c r="I886" s="9">
        <v>63.5</v>
      </c>
    </row>
    <row r="887" spans="1:9" ht="14.25">
      <c r="A887" s="6">
        <v>883</v>
      </c>
      <c r="B887" s="7" t="s">
        <v>403</v>
      </c>
      <c r="C887" s="6" t="s">
        <v>536</v>
      </c>
      <c r="D887" s="7" t="s">
        <v>1165</v>
      </c>
      <c r="E887" s="7" t="s">
        <v>522</v>
      </c>
      <c r="F887" s="12">
        <v>45520</v>
      </c>
      <c r="G887" s="9">
        <v>420</v>
      </c>
      <c r="H887" s="6">
        <v>2</v>
      </c>
      <c r="I887" s="9">
        <v>210</v>
      </c>
    </row>
    <row r="888" spans="1:9" ht="14.25">
      <c r="A888" s="6">
        <v>884</v>
      </c>
      <c r="B888" s="7" t="s">
        <v>244</v>
      </c>
      <c r="C888" s="6" t="s">
        <v>520</v>
      </c>
      <c r="D888" s="7" t="s">
        <v>1104</v>
      </c>
      <c r="E888" s="7" t="s">
        <v>522</v>
      </c>
      <c r="F888" s="12">
        <v>42604</v>
      </c>
      <c r="G888" s="9">
        <v>720</v>
      </c>
      <c r="H888" s="6">
        <v>2</v>
      </c>
      <c r="I888" s="9">
        <v>360</v>
      </c>
    </row>
    <row r="889" spans="1:9" ht="14.25">
      <c r="A889" s="6">
        <v>885</v>
      </c>
      <c r="B889" s="7" t="s">
        <v>244</v>
      </c>
      <c r="C889" s="6" t="s">
        <v>520</v>
      </c>
      <c r="D889" s="7" t="s">
        <v>1323</v>
      </c>
      <c r="E889" s="7" t="s">
        <v>522</v>
      </c>
      <c r="F889" s="12">
        <v>42999</v>
      </c>
      <c r="G889" s="9">
        <v>1000</v>
      </c>
      <c r="H889" s="6">
        <v>2</v>
      </c>
      <c r="I889" s="9">
        <v>500</v>
      </c>
    </row>
    <row r="890" spans="1:9" ht="14.25">
      <c r="A890" s="6">
        <v>886</v>
      </c>
      <c r="B890" s="7" t="s">
        <v>244</v>
      </c>
      <c r="C890" s="6" t="s">
        <v>520</v>
      </c>
      <c r="D890" s="7" t="s">
        <v>794</v>
      </c>
      <c r="E890" s="7" t="s">
        <v>522</v>
      </c>
      <c r="F890" s="12">
        <v>43266</v>
      </c>
      <c r="G890" s="9">
        <v>1500</v>
      </c>
      <c r="H890" s="6">
        <v>2</v>
      </c>
      <c r="I890" s="9">
        <v>750</v>
      </c>
    </row>
    <row r="891" spans="1:9" ht="14.25">
      <c r="A891" s="6">
        <v>887</v>
      </c>
      <c r="B891" s="7" t="s">
        <v>244</v>
      </c>
      <c r="C891" s="6" t="s">
        <v>520</v>
      </c>
      <c r="D891" s="7" t="s">
        <v>841</v>
      </c>
      <c r="E891" s="7" t="s">
        <v>522</v>
      </c>
      <c r="F891" s="12">
        <v>43711</v>
      </c>
      <c r="G891" s="9">
        <v>1265</v>
      </c>
      <c r="H891" s="6">
        <v>2</v>
      </c>
      <c r="I891" s="9">
        <v>632.5</v>
      </c>
    </row>
    <row r="892" spans="1:9" ht="14.25">
      <c r="A892" s="6">
        <v>888</v>
      </c>
      <c r="B892" s="7" t="s">
        <v>244</v>
      </c>
      <c r="C892" s="6" t="s">
        <v>520</v>
      </c>
      <c r="D892" s="7" t="s">
        <v>1324</v>
      </c>
      <c r="E892" s="7" t="s">
        <v>522</v>
      </c>
      <c r="F892" s="12">
        <v>43635</v>
      </c>
      <c r="G892" s="9">
        <v>1230</v>
      </c>
      <c r="H892" s="6">
        <v>2</v>
      </c>
      <c r="I892" s="9">
        <v>615</v>
      </c>
    </row>
    <row r="893" spans="1:9" ht="14.25">
      <c r="A893" s="6">
        <v>889</v>
      </c>
      <c r="B893" s="7" t="s">
        <v>244</v>
      </c>
      <c r="C893" s="6" t="s">
        <v>520</v>
      </c>
      <c r="D893" s="7" t="s">
        <v>796</v>
      </c>
      <c r="E893" s="7" t="s">
        <v>522</v>
      </c>
      <c r="F893" s="12">
        <v>44053</v>
      </c>
      <c r="G893" s="9">
        <v>1900</v>
      </c>
      <c r="H893" s="6">
        <v>2</v>
      </c>
      <c r="I893" s="9">
        <v>950</v>
      </c>
    </row>
    <row r="894" spans="1:9" ht="14.25">
      <c r="A894" s="6">
        <v>890</v>
      </c>
      <c r="B894" s="7" t="s">
        <v>244</v>
      </c>
      <c r="C894" s="6" t="s">
        <v>520</v>
      </c>
      <c r="D894" s="7" t="s">
        <v>843</v>
      </c>
      <c r="E894" s="7" t="s">
        <v>522</v>
      </c>
      <c r="F894" s="12">
        <v>44525</v>
      </c>
      <c r="G894" s="9">
        <v>1636.6</v>
      </c>
      <c r="H894" s="6">
        <v>2</v>
      </c>
      <c r="I894" s="9">
        <v>818.3</v>
      </c>
    </row>
    <row r="895" spans="1:9" ht="14.25">
      <c r="A895" s="6">
        <v>891</v>
      </c>
      <c r="B895" s="7" t="s">
        <v>244</v>
      </c>
      <c r="C895" s="6" t="s">
        <v>520</v>
      </c>
      <c r="D895" s="7" t="s">
        <v>1325</v>
      </c>
      <c r="E895" s="7" t="s">
        <v>522</v>
      </c>
      <c r="F895" s="12">
        <v>44706</v>
      </c>
      <c r="G895" s="9">
        <v>1450</v>
      </c>
      <c r="H895" s="6">
        <v>2</v>
      </c>
      <c r="I895" s="9">
        <v>725</v>
      </c>
    </row>
    <row r="896" spans="1:9" ht="14.25">
      <c r="A896" s="6">
        <v>892</v>
      </c>
      <c r="B896" s="7" t="s">
        <v>244</v>
      </c>
      <c r="C896" s="6" t="s">
        <v>536</v>
      </c>
      <c r="D896" s="7" t="s">
        <v>1108</v>
      </c>
      <c r="E896" s="7" t="s">
        <v>522</v>
      </c>
      <c r="F896" s="12">
        <v>45279</v>
      </c>
      <c r="G896" s="9">
        <v>1200</v>
      </c>
      <c r="H896" s="6">
        <v>2</v>
      </c>
      <c r="I896" s="9">
        <v>600</v>
      </c>
    </row>
    <row r="897" spans="1:9" ht="14.25">
      <c r="A897" s="6">
        <v>893</v>
      </c>
      <c r="B897" s="7" t="s">
        <v>215</v>
      </c>
      <c r="C897" s="6" t="s">
        <v>520</v>
      </c>
      <c r="D897" s="7" t="s">
        <v>1326</v>
      </c>
      <c r="E897" s="7" t="s">
        <v>544</v>
      </c>
      <c r="F897" s="12">
        <v>44006</v>
      </c>
      <c r="G897" s="9">
        <v>336</v>
      </c>
      <c r="H897" s="6">
        <v>1</v>
      </c>
      <c r="I897" s="9">
        <v>336</v>
      </c>
    </row>
    <row r="898" spans="1:9" ht="14.25">
      <c r="A898" s="6">
        <v>894</v>
      </c>
      <c r="B898" s="7" t="s">
        <v>215</v>
      </c>
      <c r="C898" s="6" t="s">
        <v>520</v>
      </c>
      <c r="D898" s="7" t="s">
        <v>1327</v>
      </c>
      <c r="E898" s="7" t="s">
        <v>544</v>
      </c>
      <c r="F898" s="12">
        <v>44482</v>
      </c>
      <c r="G898" s="9">
        <v>500</v>
      </c>
      <c r="H898" s="6">
        <v>1</v>
      </c>
      <c r="I898" s="9">
        <v>500</v>
      </c>
    </row>
    <row r="899" spans="1:9" ht="14.25">
      <c r="A899" s="6">
        <v>895</v>
      </c>
      <c r="B899" s="7" t="s">
        <v>215</v>
      </c>
      <c r="C899" s="6" t="s">
        <v>520</v>
      </c>
      <c r="D899" s="7" t="s">
        <v>1328</v>
      </c>
      <c r="E899" s="7" t="s">
        <v>522</v>
      </c>
      <c r="F899" s="12">
        <v>45040</v>
      </c>
      <c r="G899" s="9">
        <v>1051</v>
      </c>
      <c r="H899" s="6">
        <v>1</v>
      </c>
      <c r="I899" s="9">
        <v>1051</v>
      </c>
    </row>
    <row r="900" spans="1:9" ht="14.25">
      <c r="A900" s="6">
        <v>896</v>
      </c>
      <c r="B900" s="7" t="s">
        <v>447</v>
      </c>
      <c r="C900" s="6" t="s">
        <v>520</v>
      </c>
      <c r="D900" s="7" t="s">
        <v>1329</v>
      </c>
      <c r="E900" s="7" t="s">
        <v>522</v>
      </c>
      <c r="F900" s="12">
        <v>44727</v>
      </c>
      <c r="G900" s="9">
        <v>77.099999999999994</v>
      </c>
      <c r="H900" s="6">
        <v>1</v>
      </c>
      <c r="I900" s="9">
        <v>77.099999999999994</v>
      </c>
    </row>
    <row r="901" spans="1:9" ht="14.25">
      <c r="A901" s="6">
        <v>897</v>
      </c>
      <c r="B901" s="7" t="s">
        <v>447</v>
      </c>
      <c r="C901" s="6" t="s">
        <v>520</v>
      </c>
      <c r="D901" s="7" t="s">
        <v>1330</v>
      </c>
      <c r="E901" s="7" t="s">
        <v>522</v>
      </c>
      <c r="F901" s="12">
        <v>45217</v>
      </c>
      <c r="G901" s="9">
        <v>110</v>
      </c>
      <c r="H901" s="6">
        <v>1</v>
      </c>
      <c r="I901" s="9">
        <v>110</v>
      </c>
    </row>
    <row r="902" spans="1:9" ht="14.25">
      <c r="A902" s="6">
        <v>898</v>
      </c>
      <c r="B902" s="7" t="s">
        <v>265</v>
      </c>
      <c r="C902" s="6" t="s">
        <v>520</v>
      </c>
      <c r="D902" s="7" t="s">
        <v>1331</v>
      </c>
      <c r="E902" s="7" t="s">
        <v>522</v>
      </c>
      <c r="F902" s="12">
        <v>43817</v>
      </c>
      <c r="G902" s="9">
        <v>160</v>
      </c>
      <c r="H902" s="6">
        <v>1</v>
      </c>
      <c r="I902" s="9">
        <v>160</v>
      </c>
    </row>
    <row r="903" spans="1:9" ht="14.25">
      <c r="A903" s="6">
        <v>899</v>
      </c>
      <c r="B903" s="7" t="s">
        <v>265</v>
      </c>
      <c r="C903" s="6" t="s">
        <v>520</v>
      </c>
      <c r="D903" s="7" t="s">
        <v>1332</v>
      </c>
      <c r="E903" s="7" t="s">
        <v>522</v>
      </c>
      <c r="F903" s="12">
        <v>43980</v>
      </c>
      <c r="G903" s="9">
        <v>160</v>
      </c>
      <c r="H903" s="6">
        <v>1</v>
      </c>
      <c r="I903" s="9">
        <v>160</v>
      </c>
    </row>
    <row r="904" spans="1:9" ht="14.25">
      <c r="A904" s="6">
        <v>900</v>
      </c>
      <c r="B904" s="7" t="s">
        <v>265</v>
      </c>
      <c r="C904" s="6" t="s">
        <v>520</v>
      </c>
      <c r="D904" s="7" t="s">
        <v>1333</v>
      </c>
      <c r="E904" s="7" t="s">
        <v>522</v>
      </c>
      <c r="F904" s="12">
        <v>44138</v>
      </c>
      <c r="G904" s="9">
        <v>200</v>
      </c>
      <c r="H904" s="6">
        <v>1</v>
      </c>
      <c r="I904" s="9">
        <v>200</v>
      </c>
    </row>
    <row r="905" spans="1:9" ht="14.25">
      <c r="A905" s="6">
        <v>901</v>
      </c>
      <c r="B905" s="7" t="s">
        <v>265</v>
      </c>
      <c r="C905" s="6" t="s">
        <v>520</v>
      </c>
      <c r="D905" s="7" t="s">
        <v>1334</v>
      </c>
      <c r="E905" s="7" t="s">
        <v>522</v>
      </c>
      <c r="F905" s="12">
        <v>44531</v>
      </c>
      <c r="G905" s="9">
        <v>790</v>
      </c>
      <c r="H905" s="6">
        <v>1</v>
      </c>
      <c r="I905" s="9">
        <v>790</v>
      </c>
    </row>
    <row r="906" spans="1:9" ht="14.25">
      <c r="A906" s="6">
        <v>902</v>
      </c>
      <c r="B906" s="7" t="s">
        <v>265</v>
      </c>
      <c r="C906" s="6" t="s">
        <v>520</v>
      </c>
      <c r="D906" s="7" t="s">
        <v>1335</v>
      </c>
      <c r="E906" s="7" t="s">
        <v>522</v>
      </c>
      <c r="F906" s="12">
        <v>44426</v>
      </c>
      <c r="G906" s="9">
        <v>101.5</v>
      </c>
      <c r="H906" s="6">
        <v>1</v>
      </c>
      <c r="I906" s="9">
        <v>101.5</v>
      </c>
    </row>
    <row r="907" spans="1:9" ht="14.25">
      <c r="A907" s="6">
        <v>903</v>
      </c>
      <c r="B907" s="7" t="s">
        <v>265</v>
      </c>
      <c r="C907" s="6" t="s">
        <v>1198</v>
      </c>
      <c r="D907" s="7" t="s">
        <v>547</v>
      </c>
      <c r="E907" s="7" t="s">
        <v>522</v>
      </c>
      <c r="F907" s="12">
        <v>44736</v>
      </c>
      <c r="G907" s="9">
        <v>505</v>
      </c>
      <c r="H907" s="6">
        <v>3</v>
      </c>
      <c r="I907" s="9">
        <v>168.3</v>
      </c>
    </row>
    <row r="908" spans="1:9" ht="14.25">
      <c r="A908" s="6">
        <v>904</v>
      </c>
      <c r="B908" s="7" t="s">
        <v>445</v>
      </c>
      <c r="C908" s="6" t="s">
        <v>536</v>
      </c>
      <c r="D908" s="7" t="s">
        <v>569</v>
      </c>
      <c r="E908" s="7" t="s">
        <v>522</v>
      </c>
      <c r="F908" s="12">
        <v>45518</v>
      </c>
      <c r="G908" s="9">
        <v>226</v>
      </c>
      <c r="H908" s="6">
        <v>2</v>
      </c>
      <c r="I908" s="9">
        <v>113</v>
      </c>
    </row>
    <row r="909" spans="1:9" ht="14.25">
      <c r="A909" s="6">
        <v>905</v>
      </c>
      <c r="B909" s="7" t="s">
        <v>195</v>
      </c>
      <c r="C909" s="6" t="s">
        <v>520</v>
      </c>
      <c r="D909" s="7" t="s">
        <v>1336</v>
      </c>
      <c r="E909" s="7" t="s">
        <v>522</v>
      </c>
      <c r="F909" s="12">
        <v>43441</v>
      </c>
      <c r="G909" s="9">
        <v>1250</v>
      </c>
      <c r="H909" s="6">
        <v>1</v>
      </c>
      <c r="I909" s="9">
        <v>1250</v>
      </c>
    </row>
    <row r="910" spans="1:9" ht="14.25">
      <c r="A910" s="6">
        <v>906</v>
      </c>
      <c r="B910" s="7" t="s">
        <v>195</v>
      </c>
      <c r="C910" s="6" t="s">
        <v>520</v>
      </c>
      <c r="D910" s="7" t="s">
        <v>1337</v>
      </c>
      <c r="E910" s="7" t="s">
        <v>522</v>
      </c>
      <c r="F910" s="12">
        <v>43776</v>
      </c>
      <c r="G910" s="9">
        <v>400</v>
      </c>
      <c r="H910" s="6">
        <v>1</v>
      </c>
      <c r="I910" s="9">
        <v>400</v>
      </c>
    </row>
    <row r="911" spans="1:9" ht="14.25">
      <c r="A911" s="6">
        <v>907</v>
      </c>
      <c r="B911" s="7" t="s">
        <v>195</v>
      </c>
      <c r="C911" s="6" t="s">
        <v>520</v>
      </c>
      <c r="D911" s="7" t="s">
        <v>1338</v>
      </c>
      <c r="E911" s="7" t="s">
        <v>522</v>
      </c>
      <c r="F911" s="12">
        <v>44501</v>
      </c>
      <c r="G911" s="9">
        <v>700</v>
      </c>
      <c r="H911" s="6">
        <v>1</v>
      </c>
      <c r="I911" s="9">
        <v>700</v>
      </c>
    </row>
    <row r="912" spans="1:9" ht="14.25">
      <c r="A912" s="6">
        <v>908</v>
      </c>
      <c r="B912" s="7" t="s">
        <v>195</v>
      </c>
      <c r="C912" s="6" t="s">
        <v>520</v>
      </c>
      <c r="D912" s="7" t="s">
        <v>1339</v>
      </c>
      <c r="E912" s="7" t="s">
        <v>522</v>
      </c>
      <c r="F912" s="12">
        <v>44811</v>
      </c>
      <c r="G912" s="9">
        <v>380</v>
      </c>
      <c r="H912" s="6">
        <v>1</v>
      </c>
      <c r="I912" s="9">
        <v>380</v>
      </c>
    </row>
    <row r="913" spans="1:9" ht="14.25">
      <c r="A913" s="6">
        <v>909</v>
      </c>
      <c r="B913" s="7" t="s">
        <v>326</v>
      </c>
      <c r="C913" s="6" t="s">
        <v>520</v>
      </c>
      <c r="D913" s="7" t="s">
        <v>1340</v>
      </c>
      <c r="E913" s="7" t="s">
        <v>522</v>
      </c>
      <c r="F913" s="12">
        <v>44232</v>
      </c>
      <c r="G913" s="9">
        <v>519.6</v>
      </c>
      <c r="H913" s="6">
        <v>1</v>
      </c>
      <c r="I913" s="9">
        <v>519.6</v>
      </c>
    </row>
    <row r="914" spans="1:9" ht="14.25">
      <c r="A914" s="6">
        <v>910</v>
      </c>
      <c r="B914" s="7" t="s">
        <v>317</v>
      </c>
      <c r="C914" s="6" t="s">
        <v>536</v>
      </c>
      <c r="D914" s="7" t="s">
        <v>1341</v>
      </c>
      <c r="E914" s="7" t="s">
        <v>522</v>
      </c>
      <c r="F914" s="12">
        <v>44365</v>
      </c>
      <c r="G914" s="9">
        <v>1100</v>
      </c>
      <c r="H914" s="6">
        <v>2</v>
      </c>
      <c r="I914" s="9">
        <v>550</v>
      </c>
    </row>
    <row r="915" spans="1:9" ht="14.25">
      <c r="A915" s="6">
        <v>911</v>
      </c>
      <c r="B915" s="7" t="s">
        <v>159</v>
      </c>
      <c r="C915" s="6" t="s">
        <v>520</v>
      </c>
      <c r="D915" s="7" t="s">
        <v>1342</v>
      </c>
      <c r="E915" s="7" t="s">
        <v>522</v>
      </c>
      <c r="F915" s="12">
        <v>43378</v>
      </c>
      <c r="G915" s="9">
        <v>1770</v>
      </c>
      <c r="H915" s="6">
        <v>1</v>
      </c>
      <c r="I915" s="9">
        <v>1770</v>
      </c>
    </row>
    <row r="916" spans="1:9" ht="14.25">
      <c r="A916" s="6">
        <v>912</v>
      </c>
      <c r="B916" s="7" t="s">
        <v>159</v>
      </c>
      <c r="C916" s="6" t="s">
        <v>536</v>
      </c>
      <c r="D916" s="7" t="s">
        <v>1240</v>
      </c>
      <c r="E916" s="7" t="s">
        <v>522</v>
      </c>
      <c r="F916" s="12">
        <v>44421</v>
      </c>
      <c r="G916" s="9">
        <v>1710</v>
      </c>
      <c r="H916" s="6">
        <v>2</v>
      </c>
      <c r="I916" s="9">
        <v>855</v>
      </c>
    </row>
    <row r="917" spans="1:9" ht="14.25">
      <c r="A917" s="6">
        <v>913</v>
      </c>
      <c r="B917" s="7" t="s">
        <v>159</v>
      </c>
      <c r="C917" s="6" t="s">
        <v>520</v>
      </c>
      <c r="D917" s="7" t="s">
        <v>1343</v>
      </c>
      <c r="E917" s="7" t="s">
        <v>522</v>
      </c>
      <c r="F917" s="12">
        <v>44453</v>
      </c>
      <c r="G917" s="9">
        <v>960</v>
      </c>
      <c r="H917" s="6">
        <v>1</v>
      </c>
      <c r="I917" s="9">
        <v>960</v>
      </c>
    </row>
    <row r="918" spans="1:9" ht="14.25">
      <c r="A918" s="6">
        <v>914</v>
      </c>
      <c r="B918" s="7" t="s">
        <v>159</v>
      </c>
      <c r="C918" s="6" t="s">
        <v>536</v>
      </c>
      <c r="D918" s="7" t="s">
        <v>547</v>
      </c>
      <c r="E918" s="7" t="s">
        <v>522</v>
      </c>
      <c r="F918" s="12">
        <v>44736</v>
      </c>
      <c r="G918" s="9">
        <v>505</v>
      </c>
      <c r="H918" s="6">
        <v>3</v>
      </c>
      <c r="I918" s="9">
        <v>168.3</v>
      </c>
    </row>
    <row r="919" spans="1:9" ht="14.25">
      <c r="A919" s="6">
        <v>915</v>
      </c>
      <c r="B919" s="7" t="s">
        <v>159</v>
      </c>
      <c r="C919" s="6" t="s">
        <v>520</v>
      </c>
      <c r="D919" s="7" t="s">
        <v>1344</v>
      </c>
      <c r="E919" s="7" t="s">
        <v>522</v>
      </c>
      <c r="F919" s="12">
        <v>45055</v>
      </c>
      <c r="G919" s="9">
        <v>1020</v>
      </c>
      <c r="H919" s="6">
        <v>1</v>
      </c>
      <c r="I919" s="9">
        <v>1020</v>
      </c>
    </row>
    <row r="920" spans="1:9" ht="14.25">
      <c r="A920" s="6">
        <v>916</v>
      </c>
      <c r="B920" s="7" t="s">
        <v>159</v>
      </c>
      <c r="C920" s="6" t="s">
        <v>520</v>
      </c>
      <c r="D920" s="7" t="s">
        <v>1345</v>
      </c>
      <c r="E920" s="7" t="s">
        <v>522</v>
      </c>
      <c r="F920" s="12">
        <v>45513</v>
      </c>
      <c r="G920" s="9">
        <v>1501</v>
      </c>
      <c r="H920" s="6">
        <v>1</v>
      </c>
      <c r="I920" s="9">
        <v>1501</v>
      </c>
    </row>
    <row r="921" spans="1:9" ht="14.25">
      <c r="A921" s="6">
        <v>917</v>
      </c>
      <c r="B921" s="7" t="s">
        <v>248</v>
      </c>
      <c r="C921" s="6" t="s">
        <v>536</v>
      </c>
      <c r="D921" s="7" t="s">
        <v>1346</v>
      </c>
      <c r="E921" s="7" t="s">
        <v>522</v>
      </c>
      <c r="F921" s="12">
        <v>45644</v>
      </c>
      <c r="G921" s="9">
        <v>1800</v>
      </c>
      <c r="H921" s="6">
        <v>2</v>
      </c>
      <c r="I921" s="9">
        <v>900</v>
      </c>
    </row>
    <row r="922" spans="1:9" ht="14.25">
      <c r="A922" s="6">
        <v>918</v>
      </c>
      <c r="B922" s="7" t="s">
        <v>136</v>
      </c>
      <c r="C922" s="6" t="s">
        <v>520</v>
      </c>
      <c r="D922" s="7" t="s">
        <v>1347</v>
      </c>
      <c r="E922" s="7" t="s">
        <v>522</v>
      </c>
      <c r="F922" s="12">
        <v>43600</v>
      </c>
      <c r="G922" s="9">
        <v>373</v>
      </c>
      <c r="H922" s="6">
        <v>1</v>
      </c>
      <c r="I922" s="9">
        <v>373</v>
      </c>
    </row>
    <row r="923" spans="1:9" ht="14.25">
      <c r="A923" s="6">
        <v>919</v>
      </c>
      <c r="B923" s="7" t="s">
        <v>136</v>
      </c>
      <c r="C923" s="6" t="s">
        <v>520</v>
      </c>
      <c r="D923" s="7" t="s">
        <v>1348</v>
      </c>
      <c r="E923" s="7" t="s">
        <v>522</v>
      </c>
      <c r="F923" s="12">
        <v>43693</v>
      </c>
      <c r="G923" s="9">
        <v>480</v>
      </c>
      <c r="H923" s="6">
        <v>1</v>
      </c>
      <c r="I923" s="9">
        <v>480</v>
      </c>
    </row>
    <row r="924" spans="1:9" ht="14.25">
      <c r="A924" s="6">
        <v>920</v>
      </c>
      <c r="B924" s="7" t="s">
        <v>136</v>
      </c>
      <c r="C924" s="6" t="s">
        <v>520</v>
      </c>
      <c r="D924" s="7" t="s">
        <v>1349</v>
      </c>
      <c r="E924" s="7" t="s">
        <v>522</v>
      </c>
      <c r="F924" s="12">
        <v>43693</v>
      </c>
      <c r="G924" s="9">
        <v>1175</v>
      </c>
      <c r="H924" s="6">
        <v>1</v>
      </c>
      <c r="I924" s="9">
        <v>1175</v>
      </c>
    </row>
    <row r="925" spans="1:9" ht="14.25">
      <c r="A925" s="6">
        <v>921</v>
      </c>
      <c r="B925" s="7" t="s">
        <v>136</v>
      </c>
      <c r="C925" s="6" t="s">
        <v>536</v>
      </c>
      <c r="D925" s="7" t="s">
        <v>606</v>
      </c>
      <c r="E925" s="7" t="s">
        <v>522</v>
      </c>
      <c r="F925" s="12">
        <v>43872</v>
      </c>
      <c r="G925" s="9">
        <v>600.1</v>
      </c>
      <c r="H925" s="6">
        <v>2</v>
      </c>
      <c r="I925" s="9">
        <v>300.10000000000002</v>
      </c>
    </row>
    <row r="926" spans="1:9" ht="14.25">
      <c r="A926" s="6">
        <v>922</v>
      </c>
      <c r="B926" s="7" t="s">
        <v>136</v>
      </c>
      <c r="C926" s="6" t="s">
        <v>520</v>
      </c>
      <c r="D926" s="7" t="s">
        <v>1350</v>
      </c>
      <c r="E926" s="7" t="s">
        <v>522</v>
      </c>
      <c r="F926" s="12">
        <v>44265</v>
      </c>
      <c r="G926" s="9">
        <v>485</v>
      </c>
      <c r="H926" s="6">
        <v>1</v>
      </c>
      <c r="I926" s="9">
        <v>485</v>
      </c>
    </row>
    <row r="927" spans="1:9" ht="14.25">
      <c r="A927" s="6">
        <v>923</v>
      </c>
      <c r="B927" s="7" t="s">
        <v>136</v>
      </c>
      <c r="C927" s="6" t="s">
        <v>520</v>
      </c>
      <c r="D927" s="7" t="s">
        <v>1351</v>
      </c>
      <c r="E927" s="7" t="s">
        <v>522</v>
      </c>
      <c r="F927" s="12">
        <v>44477</v>
      </c>
      <c r="G927" s="9">
        <v>218</v>
      </c>
      <c r="H927" s="6">
        <v>1</v>
      </c>
      <c r="I927" s="9">
        <v>218</v>
      </c>
    </row>
    <row r="928" spans="1:9" ht="14.25">
      <c r="A928" s="6">
        <v>924</v>
      </c>
      <c r="B928" s="7" t="s">
        <v>136</v>
      </c>
      <c r="C928" s="6" t="s">
        <v>536</v>
      </c>
      <c r="D928" s="7" t="s">
        <v>1352</v>
      </c>
      <c r="E928" s="7" t="s">
        <v>522</v>
      </c>
      <c r="F928" s="12">
        <v>44200</v>
      </c>
      <c r="G928" s="9">
        <v>2000</v>
      </c>
      <c r="H928" s="6">
        <v>2</v>
      </c>
      <c r="I928" s="9">
        <v>1000</v>
      </c>
    </row>
    <row r="929" spans="1:9" ht="14.25">
      <c r="A929" s="6">
        <v>925</v>
      </c>
      <c r="B929" s="7" t="s">
        <v>136</v>
      </c>
      <c r="C929" s="6" t="s">
        <v>520</v>
      </c>
      <c r="D929" s="7" t="s">
        <v>670</v>
      </c>
      <c r="E929" s="7" t="s">
        <v>522</v>
      </c>
      <c r="F929" s="12">
        <v>44481</v>
      </c>
      <c r="G929" s="9">
        <v>435</v>
      </c>
      <c r="H929" s="6">
        <v>2</v>
      </c>
      <c r="I929" s="9">
        <v>217.5</v>
      </c>
    </row>
    <row r="930" spans="1:9" ht="14.25">
      <c r="A930" s="6">
        <v>926</v>
      </c>
      <c r="B930" s="7" t="s">
        <v>136</v>
      </c>
      <c r="C930" s="6" t="s">
        <v>520</v>
      </c>
      <c r="D930" s="7" t="s">
        <v>1353</v>
      </c>
      <c r="E930" s="7" t="s">
        <v>522</v>
      </c>
      <c r="F930" s="12">
        <v>45484</v>
      </c>
      <c r="G930" s="9">
        <v>2160</v>
      </c>
      <c r="H930" s="6">
        <v>1</v>
      </c>
      <c r="I930" s="9">
        <v>2160</v>
      </c>
    </row>
    <row r="931" spans="1:9" ht="14.25">
      <c r="A931" s="6">
        <v>927</v>
      </c>
      <c r="B931" s="7" t="s">
        <v>136</v>
      </c>
      <c r="C931" s="6" t="s">
        <v>520</v>
      </c>
      <c r="D931" s="7" t="s">
        <v>1354</v>
      </c>
      <c r="E931" s="7" t="s">
        <v>522</v>
      </c>
      <c r="F931" s="12">
        <v>45406</v>
      </c>
      <c r="G931" s="9">
        <v>576</v>
      </c>
      <c r="H931" s="6">
        <v>2</v>
      </c>
      <c r="I931" s="9">
        <v>288</v>
      </c>
    </row>
    <row r="932" spans="1:9" ht="14.25">
      <c r="A932" s="6">
        <v>928</v>
      </c>
      <c r="B932" s="7" t="s">
        <v>482</v>
      </c>
      <c r="C932" s="6" t="s">
        <v>520</v>
      </c>
      <c r="D932" s="7" t="s">
        <v>1355</v>
      </c>
      <c r="E932" s="7" t="s">
        <v>522</v>
      </c>
      <c r="F932" s="12">
        <v>45369</v>
      </c>
      <c r="G932" s="9">
        <v>124</v>
      </c>
      <c r="H932" s="6">
        <v>2</v>
      </c>
      <c r="I932" s="9">
        <v>62</v>
      </c>
    </row>
    <row r="933" spans="1:9" ht="14.25">
      <c r="A933" s="6">
        <v>929</v>
      </c>
      <c r="B933" s="7" t="s">
        <v>378</v>
      </c>
      <c r="C933" s="6" t="s">
        <v>536</v>
      </c>
      <c r="D933" s="7" t="s">
        <v>1354</v>
      </c>
      <c r="E933" s="7" t="s">
        <v>522</v>
      </c>
      <c r="F933" s="12">
        <v>45406</v>
      </c>
      <c r="G933" s="9">
        <v>576</v>
      </c>
      <c r="H933" s="6">
        <v>2</v>
      </c>
      <c r="I933" s="9">
        <v>288</v>
      </c>
    </row>
    <row r="934" spans="1:9" ht="14.25">
      <c r="A934" s="6">
        <v>930</v>
      </c>
      <c r="B934" s="7" t="s">
        <v>100</v>
      </c>
      <c r="C934" s="6" t="s">
        <v>520</v>
      </c>
      <c r="D934" s="7" t="s">
        <v>1356</v>
      </c>
      <c r="E934" s="7" t="s">
        <v>522</v>
      </c>
      <c r="F934" s="12">
        <v>44399</v>
      </c>
      <c r="G934" s="9">
        <v>3000</v>
      </c>
      <c r="H934" s="6">
        <v>1</v>
      </c>
      <c r="I934" s="9">
        <v>3000</v>
      </c>
    </row>
    <row r="935" spans="1:9" ht="14.25">
      <c r="A935" s="6">
        <v>931</v>
      </c>
      <c r="B935" s="7" t="s">
        <v>100</v>
      </c>
      <c r="C935" s="6" t="s">
        <v>520</v>
      </c>
      <c r="D935" s="7" t="s">
        <v>1357</v>
      </c>
      <c r="E935" s="7" t="s">
        <v>522</v>
      </c>
      <c r="F935" s="12">
        <v>44757</v>
      </c>
      <c r="G935" s="9">
        <v>1450</v>
      </c>
      <c r="H935" s="6">
        <v>1</v>
      </c>
      <c r="I935" s="9">
        <v>1450</v>
      </c>
    </row>
    <row r="936" spans="1:9" ht="14.25">
      <c r="A936" s="6">
        <v>932</v>
      </c>
      <c r="B936" s="7" t="s">
        <v>100</v>
      </c>
      <c r="C936" s="6" t="s">
        <v>520</v>
      </c>
      <c r="D936" s="7" t="s">
        <v>1358</v>
      </c>
      <c r="E936" s="7" t="s">
        <v>522</v>
      </c>
      <c r="F936" s="12">
        <v>45085</v>
      </c>
      <c r="G936" s="9">
        <v>4000</v>
      </c>
      <c r="H936" s="6">
        <v>2</v>
      </c>
      <c r="I936" s="9">
        <v>2000</v>
      </c>
    </row>
    <row r="937" spans="1:9" ht="14.25">
      <c r="A937" s="6">
        <v>933</v>
      </c>
      <c r="B937" s="7" t="s">
        <v>249</v>
      </c>
      <c r="C937" s="6" t="s">
        <v>520</v>
      </c>
      <c r="D937" s="7" t="s">
        <v>1359</v>
      </c>
      <c r="E937" s="7" t="s">
        <v>544</v>
      </c>
      <c r="F937" s="12">
        <v>44169</v>
      </c>
      <c r="G937" s="9">
        <v>1000</v>
      </c>
      <c r="H937" s="6">
        <v>2</v>
      </c>
      <c r="I937" s="9">
        <v>500</v>
      </c>
    </row>
    <row r="938" spans="1:9" ht="14.25">
      <c r="A938" s="6">
        <v>934</v>
      </c>
      <c r="B938" s="7" t="s">
        <v>249</v>
      </c>
      <c r="C938" s="6" t="s">
        <v>520</v>
      </c>
      <c r="D938" s="7" t="s">
        <v>1360</v>
      </c>
      <c r="E938" s="7" t="s">
        <v>522</v>
      </c>
      <c r="F938" s="12">
        <v>44462</v>
      </c>
      <c r="G938" s="9">
        <v>380</v>
      </c>
      <c r="H938" s="6">
        <v>1</v>
      </c>
      <c r="I938" s="9">
        <v>380</v>
      </c>
    </row>
    <row r="939" spans="1:9" ht="14.25">
      <c r="A939" s="6">
        <v>935</v>
      </c>
      <c r="B939" s="7" t="s">
        <v>249</v>
      </c>
      <c r="C939" s="6" t="s">
        <v>536</v>
      </c>
      <c r="D939" s="7" t="s">
        <v>1361</v>
      </c>
      <c r="E939" s="7" t="s">
        <v>522</v>
      </c>
      <c r="F939" s="12">
        <v>44476</v>
      </c>
      <c r="G939" s="9">
        <v>1730</v>
      </c>
      <c r="H939" s="6">
        <v>2</v>
      </c>
      <c r="I939" s="9">
        <v>865</v>
      </c>
    </row>
    <row r="940" spans="1:9" ht="14.25">
      <c r="A940" s="6">
        <v>936</v>
      </c>
      <c r="B940" s="7" t="s">
        <v>249</v>
      </c>
      <c r="C940" s="6" t="s">
        <v>520</v>
      </c>
      <c r="D940" s="7" t="s">
        <v>745</v>
      </c>
      <c r="E940" s="7" t="s">
        <v>522</v>
      </c>
      <c r="F940" s="12">
        <v>44673</v>
      </c>
      <c r="G940" s="9">
        <v>1100</v>
      </c>
      <c r="H940" s="6">
        <v>2</v>
      </c>
      <c r="I940" s="9">
        <v>550</v>
      </c>
    </row>
    <row r="941" spans="1:9" ht="14.25">
      <c r="A941" s="6">
        <v>937</v>
      </c>
      <c r="B941" s="7" t="s">
        <v>249</v>
      </c>
      <c r="C941" s="6" t="s">
        <v>520</v>
      </c>
      <c r="D941" s="7" t="s">
        <v>1362</v>
      </c>
      <c r="E941" s="7" t="s">
        <v>544</v>
      </c>
      <c r="F941" s="12">
        <v>45286</v>
      </c>
      <c r="G941" s="9">
        <v>295</v>
      </c>
      <c r="H941" s="6">
        <v>1</v>
      </c>
      <c r="I941" s="9">
        <v>295</v>
      </c>
    </row>
    <row r="942" spans="1:9" ht="14.25">
      <c r="A942" s="6">
        <v>938</v>
      </c>
      <c r="B942" s="7" t="s">
        <v>76</v>
      </c>
      <c r="C942" s="6" t="s">
        <v>520</v>
      </c>
      <c r="D942" s="7" t="s">
        <v>1363</v>
      </c>
      <c r="E942" s="7" t="s">
        <v>522</v>
      </c>
      <c r="F942" s="12">
        <v>44554</v>
      </c>
      <c r="G942" s="9">
        <v>3230</v>
      </c>
      <c r="H942" s="6">
        <v>1</v>
      </c>
      <c r="I942" s="9">
        <v>3230</v>
      </c>
    </row>
    <row r="943" spans="1:9" ht="14.25">
      <c r="A943" s="6">
        <v>939</v>
      </c>
      <c r="B943" s="7" t="s">
        <v>76</v>
      </c>
      <c r="C943" s="6" t="s">
        <v>520</v>
      </c>
      <c r="D943" s="7" t="s">
        <v>1364</v>
      </c>
      <c r="E943" s="7" t="s">
        <v>522</v>
      </c>
      <c r="F943" s="12">
        <v>44792</v>
      </c>
      <c r="G943" s="9">
        <v>3900</v>
      </c>
      <c r="H943" s="6">
        <v>1</v>
      </c>
      <c r="I943" s="9">
        <v>3900</v>
      </c>
    </row>
    <row r="944" spans="1:9" ht="14.25">
      <c r="A944" s="6">
        <v>940</v>
      </c>
      <c r="B944" s="7" t="s">
        <v>194</v>
      </c>
      <c r="C944" s="6" t="s">
        <v>520</v>
      </c>
      <c r="D944" s="7" t="s">
        <v>845</v>
      </c>
      <c r="E944" s="7" t="s">
        <v>522</v>
      </c>
      <c r="F944" s="12">
        <v>43465</v>
      </c>
      <c r="G944" s="9">
        <v>2403</v>
      </c>
      <c r="H944" s="6">
        <v>2</v>
      </c>
      <c r="I944" s="9">
        <v>1201.5</v>
      </c>
    </row>
    <row r="945" spans="1:9" ht="14.25">
      <c r="A945" s="6">
        <v>941</v>
      </c>
      <c r="B945" s="7" t="s">
        <v>194</v>
      </c>
      <c r="C945" s="6" t="s">
        <v>520</v>
      </c>
      <c r="D945" s="7" t="s">
        <v>1365</v>
      </c>
      <c r="E945" s="7" t="s">
        <v>522</v>
      </c>
      <c r="F945" s="12">
        <v>43119</v>
      </c>
      <c r="G945" s="9">
        <v>500</v>
      </c>
      <c r="H945" s="6">
        <v>2</v>
      </c>
      <c r="I945" s="9">
        <v>250</v>
      </c>
    </row>
    <row r="946" spans="1:9" ht="14.25">
      <c r="A946" s="6">
        <v>942</v>
      </c>
      <c r="B946" s="7" t="s">
        <v>194</v>
      </c>
      <c r="C946" s="6" t="s">
        <v>520</v>
      </c>
      <c r="D946" s="7" t="s">
        <v>1366</v>
      </c>
      <c r="E946" s="7" t="s">
        <v>522</v>
      </c>
      <c r="F946" s="12">
        <v>43474</v>
      </c>
      <c r="G946" s="9">
        <v>650</v>
      </c>
      <c r="H946" s="6">
        <v>2</v>
      </c>
      <c r="I946" s="9">
        <v>325</v>
      </c>
    </row>
    <row r="947" spans="1:9" ht="14.25">
      <c r="A947" s="6">
        <v>943</v>
      </c>
      <c r="B947" s="7" t="s">
        <v>194</v>
      </c>
      <c r="C947" s="6" t="s">
        <v>520</v>
      </c>
      <c r="D947" s="7" t="s">
        <v>1367</v>
      </c>
      <c r="E947" s="7" t="s">
        <v>544</v>
      </c>
      <c r="F947" s="12">
        <v>43889</v>
      </c>
      <c r="G947" s="9">
        <v>2500</v>
      </c>
      <c r="H947" s="6">
        <v>2</v>
      </c>
      <c r="I947" s="9">
        <v>1250</v>
      </c>
    </row>
    <row r="948" spans="1:9" ht="14.25">
      <c r="A948" s="6">
        <v>944</v>
      </c>
      <c r="B948" s="7" t="s">
        <v>194</v>
      </c>
      <c r="C948" s="6" t="s">
        <v>520</v>
      </c>
      <c r="D948" s="7" t="s">
        <v>1160</v>
      </c>
      <c r="E948" s="7" t="s">
        <v>522</v>
      </c>
      <c r="F948" s="12">
        <v>45205</v>
      </c>
      <c r="G948" s="9">
        <v>1290</v>
      </c>
      <c r="H948" s="6">
        <v>2</v>
      </c>
      <c r="I948" s="9">
        <v>645</v>
      </c>
    </row>
    <row r="949" spans="1:9" ht="14.25">
      <c r="A949" s="6">
        <v>945</v>
      </c>
      <c r="B949" s="7" t="s">
        <v>194</v>
      </c>
      <c r="C949" s="6" t="s">
        <v>520</v>
      </c>
      <c r="D949" s="7" t="s">
        <v>933</v>
      </c>
      <c r="E949" s="7" t="s">
        <v>522</v>
      </c>
      <c r="F949" s="12">
        <v>45609</v>
      </c>
      <c r="G949" s="9">
        <v>1200</v>
      </c>
      <c r="H949" s="6">
        <v>2</v>
      </c>
      <c r="I949" s="9">
        <v>600</v>
      </c>
    </row>
    <row r="950" spans="1:9" ht="14.25">
      <c r="A950" s="6">
        <v>946</v>
      </c>
      <c r="B950" s="7" t="s">
        <v>194</v>
      </c>
      <c r="C950" s="6" t="s">
        <v>536</v>
      </c>
      <c r="D950" s="7" t="s">
        <v>1013</v>
      </c>
      <c r="E950" s="7" t="s">
        <v>522</v>
      </c>
      <c r="F950" s="12">
        <v>45355</v>
      </c>
      <c r="G950" s="9">
        <v>1841</v>
      </c>
      <c r="H950" s="6">
        <v>2</v>
      </c>
      <c r="I950" s="9">
        <v>920.5</v>
      </c>
    </row>
    <row r="951" spans="1:9" ht="14.25">
      <c r="A951" s="6">
        <v>947</v>
      </c>
      <c r="B951" s="7" t="s">
        <v>194</v>
      </c>
      <c r="C951" s="6" t="s">
        <v>520</v>
      </c>
      <c r="D951" s="7" t="s">
        <v>1100</v>
      </c>
      <c r="E951" s="7" t="s">
        <v>522</v>
      </c>
      <c r="F951" s="12">
        <v>45482</v>
      </c>
      <c r="G951" s="9">
        <v>1050</v>
      </c>
      <c r="H951" s="6">
        <v>2</v>
      </c>
      <c r="I951" s="9">
        <v>525</v>
      </c>
    </row>
    <row r="952" spans="1:9" ht="14.25">
      <c r="A952" s="6">
        <v>948</v>
      </c>
      <c r="B952" s="7" t="s">
        <v>58</v>
      </c>
      <c r="C952" s="6" t="s">
        <v>520</v>
      </c>
      <c r="D952" s="7" t="s">
        <v>1368</v>
      </c>
      <c r="E952" s="7" t="s">
        <v>522</v>
      </c>
      <c r="F952" s="12">
        <v>42818</v>
      </c>
      <c r="G952" s="9">
        <v>3470.6</v>
      </c>
      <c r="H952" s="6">
        <v>1</v>
      </c>
      <c r="I952" s="9">
        <v>3470.6</v>
      </c>
    </row>
    <row r="953" spans="1:9" ht="14.25">
      <c r="A953" s="6">
        <v>949</v>
      </c>
      <c r="B953" s="7" t="s">
        <v>58</v>
      </c>
      <c r="C953" s="6" t="s">
        <v>520</v>
      </c>
      <c r="D953" s="7" t="s">
        <v>1369</v>
      </c>
      <c r="E953" s="7" t="s">
        <v>522</v>
      </c>
      <c r="F953" s="12">
        <v>43844</v>
      </c>
      <c r="G953" s="9">
        <v>2184</v>
      </c>
      <c r="H953" s="6">
        <v>1</v>
      </c>
      <c r="I953" s="9">
        <v>2184</v>
      </c>
    </row>
    <row r="954" spans="1:9" ht="14.25">
      <c r="A954" s="6">
        <v>950</v>
      </c>
      <c r="B954" s="7" t="s">
        <v>58</v>
      </c>
      <c r="C954" s="6" t="s">
        <v>520</v>
      </c>
      <c r="D954" s="7" t="s">
        <v>1370</v>
      </c>
      <c r="E954" s="7" t="s">
        <v>522</v>
      </c>
      <c r="F954" s="12">
        <v>44525</v>
      </c>
      <c r="G954" s="9">
        <v>225</v>
      </c>
      <c r="H954" s="6">
        <v>1</v>
      </c>
      <c r="I954" s="9">
        <v>225</v>
      </c>
    </row>
    <row r="955" spans="1:9" ht="14.25">
      <c r="A955" s="6">
        <v>951</v>
      </c>
      <c r="B955" s="7" t="s">
        <v>58</v>
      </c>
      <c r="C955" s="6" t="s">
        <v>520</v>
      </c>
      <c r="D955" s="7" t="s">
        <v>1371</v>
      </c>
      <c r="E955" s="7" t="s">
        <v>522</v>
      </c>
      <c r="F955" s="12">
        <v>44680</v>
      </c>
      <c r="G955" s="9">
        <v>5367.4</v>
      </c>
      <c r="H955" s="6">
        <v>1</v>
      </c>
      <c r="I955" s="9">
        <v>5367.4</v>
      </c>
    </row>
    <row r="956" spans="1:9" ht="14.25">
      <c r="A956" s="6">
        <v>952</v>
      </c>
      <c r="B956" s="7" t="s">
        <v>58</v>
      </c>
      <c r="C956" s="6" t="s">
        <v>520</v>
      </c>
      <c r="D956" s="7" t="s">
        <v>1372</v>
      </c>
      <c r="E956" s="7" t="s">
        <v>522</v>
      </c>
      <c r="F956" s="12">
        <v>44664</v>
      </c>
      <c r="G956" s="9">
        <v>163</v>
      </c>
      <c r="H956" s="6">
        <v>1</v>
      </c>
      <c r="I956" s="9">
        <v>163</v>
      </c>
    </row>
    <row r="957" spans="1:9" ht="14.25">
      <c r="A957" s="6">
        <v>953</v>
      </c>
      <c r="B957" s="7" t="s">
        <v>58</v>
      </c>
      <c r="C957" s="6" t="s">
        <v>520</v>
      </c>
      <c r="D957" s="7" t="s">
        <v>1373</v>
      </c>
      <c r="E957" s="7" t="s">
        <v>522</v>
      </c>
      <c r="F957" s="12">
        <v>45286</v>
      </c>
      <c r="G957" s="9">
        <v>3794</v>
      </c>
      <c r="H957" s="6">
        <v>1</v>
      </c>
      <c r="I957" s="9">
        <v>3794</v>
      </c>
    </row>
    <row r="958" spans="1:9" ht="14.25">
      <c r="A958" s="6">
        <v>954</v>
      </c>
      <c r="B958" s="7" t="s">
        <v>400</v>
      </c>
      <c r="C958" s="6" t="s">
        <v>520</v>
      </c>
      <c r="D958" s="7" t="s">
        <v>1374</v>
      </c>
      <c r="E958" s="7" t="s">
        <v>522</v>
      </c>
      <c r="F958" s="12">
        <v>44362</v>
      </c>
      <c r="G958" s="9">
        <v>192</v>
      </c>
      <c r="H958" s="6">
        <v>1</v>
      </c>
      <c r="I958" s="9">
        <v>192</v>
      </c>
    </row>
    <row r="959" spans="1:9" ht="14.25">
      <c r="A959" s="6">
        <v>955</v>
      </c>
      <c r="B959" s="7" t="s">
        <v>400</v>
      </c>
      <c r="C959" s="6" t="s">
        <v>520</v>
      </c>
      <c r="D959" s="7" t="s">
        <v>1375</v>
      </c>
      <c r="E959" s="7" t="s">
        <v>522</v>
      </c>
      <c r="F959" s="12">
        <v>44683</v>
      </c>
      <c r="G959" s="9">
        <v>219.5</v>
      </c>
      <c r="H959" s="6">
        <v>1</v>
      </c>
      <c r="I959" s="9">
        <v>219.5</v>
      </c>
    </row>
    <row r="960" spans="1:9" ht="14.25">
      <c r="A960" s="6">
        <v>956</v>
      </c>
      <c r="B960" s="7" t="s">
        <v>161</v>
      </c>
      <c r="C960" s="6" t="s">
        <v>520</v>
      </c>
      <c r="D960" s="7" t="s">
        <v>1376</v>
      </c>
      <c r="E960" s="7" t="s">
        <v>522</v>
      </c>
      <c r="F960" s="12">
        <v>44491</v>
      </c>
      <c r="G960" s="9">
        <v>1002</v>
      </c>
      <c r="H960" s="6">
        <v>1</v>
      </c>
      <c r="I960" s="9">
        <v>1002</v>
      </c>
    </row>
    <row r="961" spans="1:9" ht="14.25">
      <c r="A961" s="6">
        <v>957</v>
      </c>
      <c r="B961" s="7" t="s">
        <v>161</v>
      </c>
      <c r="C961" s="6" t="s">
        <v>520</v>
      </c>
      <c r="D961" s="7" t="s">
        <v>1377</v>
      </c>
      <c r="E961" s="7" t="s">
        <v>522</v>
      </c>
      <c r="F961" s="12">
        <v>44540</v>
      </c>
      <c r="G961" s="9">
        <v>1002</v>
      </c>
      <c r="H961" s="6">
        <v>1</v>
      </c>
      <c r="I961" s="9">
        <v>1002</v>
      </c>
    </row>
    <row r="962" spans="1:9" ht="14.25">
      <c r="A962" s="6">
        <v>958</v>
      </c>
      <c r="B962" s="7" t="s">
        <v>161</v>
      </c>
      <c r="C962" s="6" t="s">
        <v>520</v>
      </c>
      <c r="D962" s="7" t="s">
        <v>1378</v>
      </c>
      <c r="E962" s="7" t="s">
        <v>522</v>
      </c>
      <c r="F962" s="12">
        <v>45650</v>
      </c>
      <c r="G962" s="9">
        <v>1580</v>
      </c>
      <c r="H962" s="6">
        <v>1</v>
      </c>
      <c r="I962" s="9">
        <v>1580</v>
      </c>
    </row>
    <row r="963" spans="1:9" ht="14.25">
      <c r="A963" s="6">
        <v>959</v>
      </c>
      <c r="B963" s="7" t="s">
        <v>161</v>
      </c>
      <c r="C963" s="6" t="s">
        <v>520</v>
      </c>
      <c r="D963" s="7" t="s">
        <v>1379</v>
      </c>
      <c r="E963" s="7" t="s">
        <v>522</v>
      </c>
      <c r="F963" s="12">
        <v>45646</v>
      </c>
      <c r="G963" s="9">
        <v>1720</v>
      </c>
      <c r="H963" s="6">
        <v>1</v>
      </c>
      <c r="I963" s="9">
        <v>1720</v>
      </c>
    </row>
    <row r="964" spans="1:9" ht="14.25">
      <c r="A964" s="6">
        <v>960</v>
      </c>
      <c r="B964" s="7" t="s">
        <v>449</v>
      </c>
      <c r="C964" s="6" t="s">
        <v>536</v>
      </c>
      <c r="D964" s="7" t="s">
        <v>1380</v>
      </c>
      <c r="E964" s="7" t="s">
        <v>522</v>
      </c>
      <c r="F964" s="12">
        <v>44371</v>
      </c>
      <c r="G964" s="9">
        <v>55.1</v>
      </c>
      <c r="H964" s="6">
        <v>2</v>
      </c>
      <c r="I964" s="9">
        <v>27.6</v>
      </c>
    </row>
    <row r="965" spans="1:9" ht="14.25">
      <c r="A965" s="6">
        <v>961</v>
      </c>
      <c r="B965" s="7" t="s">
        <v>449</v>
      </c>
      <c r="C965" s="6" t="s">
        <v>520</v>
      </c>
      <c r="D965" s="7" t="s">
        <v>1381</v>
      </c>
      <c r="E965" s="7" t="s">
        <v>522</v>
      </c>
      <c r="F965" s="12">
        <v>44487</v>
      </c>
      <c r="G965" s="9">
        <v>217.1</v>
      </c>
      <c r="H965" s="6">
        <v>2</v>
      </c>
      <c r="I965" s="9">
        <v>108.5</v>
      </c>
    </row>
    <row r="966" spans="1:9" ht="14.25">
      <c r="A966" s="6">
        <v>962</v>
      </c>
      <c r="B966" s="7" t="s">
        <v>165</v>
      </c>
      <c r="C966" s="6" t="s">
        <v>520</v>
      </c>
      <c r="D966" s="7" t="s">
        <v>1382</v>
      </c>
      <c r="E966" s="7" t="s">
        <v>522</v>
      </c>
      <c r="F966" s="12">
        <v>43811</v>
      </c>
      <c r="G966" s="9">
        <v>1641</v>
      </c>
      <c r="H966" s="6">
        <v>1</v>
      </c>
      <c r="I966" s="9">
        <v>1641</v>
      </c>
    </row>
    <row r="967" spans="1:9" ht="14.25">
      <c r="A967" s="6">
        <v>963</v>
      </c>
      <c r="B967" s="7" t="s">
        <v>165</v>
      </c>
      <c r="C967" s="6" t="s">
        <v>520</v>
      </c>
      <c r="D967" s="7" t="s">
        <v>1383</v>
      </c>
      <c r="E967" s="7" t="s">
        <v>528</v>
      </c>
      <c r="F967" s="12">
        <v>44337</v>
      </c>
      <c r="G967" s="9">
        <v>95</v>
      </c>
      <c r="H967" s="6">
        <v>1</v>
      </c>
      <c r="I967" s="9">
        <v>95</v>
      </c>
    </row>
    <row r="968" spans="1:9" ht="14.25">
      <c r="A968" s="6">
        <v>964</v>
      </c>
      <c r="B968" s="7" t="s">
        <v>165</v>
      </c>
      <c r="C968" s="6" t="s">
        <v>536</v>
      </c>
      <c r="D968" s="7" t="s">
        <v>1384</v>
      </c>
      <c r="E968" s="7" t="s">
        <v>522</v>
      </c>
      <c r="F968" s="12">
        <v>44985</v>
      </c>
      <c r="G968" s="9">
        <v>1600</v>
      </c>
      <c r="H968" s="6">
        <v>2</v>
      </c>
      <c r="I968" s="9">
        <v>800</v>
      </c>
    </row>
    <row r="969" spans="1:9" ht="14.25">
      <c r="A969" s="6">
        <v>965</v>
      </c>
      <c r="B969" s="7" t="s">
        <v>80</v>
      </c>
      <c r="C969" s="6" t="s">
        <v>520</v>
      </c>
      <c r="D969" s="7" t="s">
        <v>1385</v>
      </c>
      <c r="E969" s="7" t="s">
        <v>522</v>
      </c>
      <c r="F969" s="12">
        <v>44504</v>
      </c>
      <c r="G969" s="9">
        <v>110</v>
      </c>
      <c r="H969" s="6">
        <v>1</v>
      </c>
      <c r="I969" s="9">
        <v>110</v>
      </c>
    </row>
    <row r="970" spans="1:9" ht="14.25">
      <c r="A970" s="6">
        <v>966</v>
      </c>
      <c r="B970" s="7" t="s">
        <v>80</v>
      </c>
      <c r="C970" s="6" t="s">
        <v>520</v>
      </c>
      <c r="D970" s="7" t="s">
        <v>1386</v>
      </c>
      <c r="E970" s="7" t="s">
        <v>522</v>
      </c>
      <c r="F970" s="12">
        <v>44742</v>
      </c>
      <c r="G970" s="9">
        <v>1060</v>
      </c>
      <c r="H970" s="6">
        <v>1</v>
      </c>
      <c r="I970" s="9">
        <v>1060</v>
      </c>
    </row>
    <row r="971" spans="1:9" ht="14.25">
      <c r="A971" s="6">
        <v>967</v>
      </c>
      <c r="B971" s="7" t="s">
        <v>80</v>
      </c>
      <c r="C971" s="6" t="s">
        <v>520</v>
      </c>
      <c r="D971" s="7" t="s">
        <v>1387</v>
      </c>
      <c r="E971" s="7" t="s">
        <v>522</v>
      </c>
      <c r="F971" s="12">
        <v>45170</v>
      </c>
      <c r="G971" s="9">
        <v>1021</v>
      </c>
      <c r="H971" s="6">
        <v>1</v>
      </c>
      <c r="I971" s="9">
        <v>1021</v>
      </c>
    </row>
    <row r="972" spans="1:9" ht="14.25">
      <c r="A972" s="6">
        <v>968</v>
      </c>
      <c r="B972" s="7" t="s">
        <v>80</v>
      </c>
      <c r="C972" s="6" t="s">
        <v>520</v>
      </c>
      <c r="D972" s="7" t="s">
        <v>1388</v>
      </c>
      <c r="E972" s="7" t="s">
        <v>522</v>
      </c>
      <c r="F972" s="12">
        <v>45170</v>
      </c>
      <c r="G972" s="9">
        <v>3842</v>
      </c>
      <c r="H972" s="6">
        <v>1</v>
      </c>
      <c r="I972" s="9">
        <v>3842</v>
      </c>
    </row>
    <row r="973" spans="1:9" ht="14.25">
      <c r="A973" s="6">
        <v>969</v>
      </c>
      <c r="B973" s="7" t="s">
        <v>203</v>
      </c>
      <c r="C973" s="6" t="s">
        <v>520</v>
      </c>
      <c r="D973" s="7" t="s">
        <v>1389</v>
      </c>
      <c r="E973" s="7" t="s">
        <v>522</v>
      </c>
      <c r="F973" s="12">
        <v>43314</v>
      </c>
      <c r="G973" s="9">
        <v>240</v>
      </c>
      <c r="H973" s="6">
        <v>1</v>
      </c>
      <c r="I973" s="9">
        <v>240</v>
      </c>
    </row>
    <row r="974" spans="1:9" ht="14.25">
      <c r="A974" s="6">
        <v>970</v>
      </c>
      <c r="B974" s="7" t="s">
        <v>203</v>
      </c>
      <c r="C974" s="6" t="s">
        <v>520</v>
      </c>
      <c r="D974" s="7" t="s">
        <v>1390</v>
      </c>
      <c r="E974" s="7" t="s">
        <v>522</v>
      </c>
      <c r="F974" s="12">
        <v>44796</v>
      </c>
      <c r="G974" s="9">
        <v>1170</v>
      </c>
      <c r="H974" s="6">
        <v>1</v>
      </c>
      <c r="I974" s="9">
        <v>1170</v>
      </c>
    </row>
    <row r="975" spans="1:9" ht="14.25">
      <c r="A975" s="6">
        <v>971</v>
      </c>
      <c r="B975" s="7" t="s">
        <v>391</v>
      </c>
      <c r="C975" s="6" t="s">
        <v>536</v>
      </c>
      <c r="D975" s="7" t="s">
        <v>1391</v>
      </c>
      <c r="E975" s="7" t="s">
        <v>522</v>
      </c>
      <c r="F975" s="12">
        <v>45251</v>
      </c>
      <c r="G975" s="9">
        <v>490</v>
      </c>
      <c r="H975" s="6">
        <v>2</v>
      </c>
      <c r="I975" s="9">
        <v>245</v>
      </c>
    </row>
    <row r="976" spans="1:9" ht="14.25">
      <c r="A976" s="6">
        <v>972</v>
      </c>
      <c r="B976" s="7" t="s">
        <v>450</v>
      </c>
      <c r="C976" s="6" t="s">
        <v>520</v>
      </c>
      <c r="D976" s="7" t="s">
        <v>1380</v>
      </c>
      <c r="E976" s="7" t="s">
        <v>522</v>
      </c>
      <c r="F976" s="12">
        <v>44371</v>
      </c>
      <c r="G976" s="9">
        <v>55.1</v>
      </c>
      <c r="H976" s="6">
        <v>2</v>
      </c>
      <c r="I976" s="9">
        <v>27.6</v>
      </c>
    </row>
    <row r="977" spans="1:9" ht="14.25">
      <c r="A977" s="6">
        <v>973</v>
      </c>
      <c r="B977" s="7" t="s">
        <v>450</v>
      </c>
      <c r="C977" s="6" t="s">
        <v>536</v>
      </c>
      <c r="D977" s="7" t="s">
        <v>1381</v>
      </c>
      <c r="E977" s="7" t="s">
        <v>522</v>
      </c>
      <c r="F977" s="12">
        <v>44487</v>
      </c>
      <c r="G977" s="9">
        <v>217.1</v>
      </c>
      <c r="H977" s="6">
        <v>2</v>
      </c>
      <c r="I977" s="9">
        <v>108.5</v>
      </c>
    </row>
    <row r="978" spans="1:9" ht="14.25">
      <c r="A978" s="6">
        <v>974</v>
      </c>
      <c r="B978" s="7" t="s">
        <v>254</v>
      </c>
      <c r="C978" s="6" t="s">
        <v>520</v>
      </c>
      <c r="D978" s="7" t="s">
        <v>1392</v>
      </c>
      <c r="E978" s="7" t="s">
        <v>522</v>
      </c>
      <c r="F978" s="12">
        <v>43299</v>
      </c>
      <c r="G978" s="9">
        <v>120</v>
      </c>
      <c r="H978" s="6">
        <v>1</v>
      </c>
      <c r="I978" s="9">
        <v>120</v>
      </c>
    </row>
    <row r="979" spans="1:9" ht="14.25">
      <c r="A979" s="6">
        <v>975</v>
      </c>
      <c r="B979" s="7" t="s">
        <v>254</v>
      </c>
      <c r="C979" s="6" t="s">
        <v>520</v>
      </c>
      <c r="D979" s="7" t="s">
        <v>1393</v>
      </c>
      <c r="E979" s="7" t="s">
        <v>522</v>
      </c>
      <c r="F979" s="12">
        <v>44603</v>
      </c>
      <c r="G979" s="9">
        <v>750</v>
      </c>
      <c r="H979" s="6">
        <v>1</v>
      </c>
      <c r="I979" s="9">
        <v>750</v>
      </c>
    </row>
    <row r="980" spans="1:9" ht="14.25">
      <c r="A980" s="6">
        <v>976</v>
      </c>
      <c r="B980" s="7" t="s">
        <v>254</v>
      </c>
      <c r="C980" s="6" t="s">
        <v>536</v>
      </c>
      <c r="D980" s="7" t="s">
        <v>1090</v>
      </c>
      <c r="E980" s="7" t="s">
        <v>522</v>
      </c>
      <c r="F980" s="12">
        <v>45063</v>
      </c>
      <c r="G980" s="9">
        <v>1700</v>
      </c>
      <c r="H980" s="6">
        <v>2</v>
      </c>
      <c r="I980" s="9">
        <v>850</v>
      </c>
    </row>
    <row r="981" spans="1:9" ht="14.25">
      <c r="A981" s="6">
        <v>977</v>
      </c>
      <c r="B981" s="7" t="s">
        <v>134</v>
      </c>
      <c r="C981" s="6" t="s">
        <v>520</v>
      </c>
      <c r="D981" s="7" t="s">
        <v>1394</v>
      </c>
      <c r="E981" s="7" t="s">
        <v>522</v>
      </c>
      <c r="F981" s="12">
        <v>42366</v>
      </c>
      <c r="G981" s="9">
        <v>1268</v>
      </c>
      <c r="H981" s="6">
        <v>1</v>
      </c>
      <c r="I981" s="9">
        <v>1268</v>
      </c>
    </row>
    <row r="982" spans="1:9" ht="14.25">
      <c r="A982" s="6">
        <v>978</v>
      </c>
      <c r="B982" s="7" t="s">
        <v>134</v>
      </c>
      <c r="C982" s="6" t="s">
        <v>520</v>
      </c>
      <c r="D982" s="7" t="s">
        <v>1395</v>
      </c>
      <c r="E982" s="7" t="s">
        <v>522</v>
      </c>
      <c r="F982" s="12">
        <v>43462</v>
      </c>
      <c r="G982" s="9">
        <v>2174</v>
      </c>
      <c r="H982" s="6">
        <v>1</v>
      </c>
      <c r="I982" s="9">
        <v>2174</v>
      </c>
    </row>
    <row r="983" spans="1:9" ht="14.25">
      <c r="A983" s="6">
        <v>979</v>
      </c>
      <c r="B983" s="7" t="s">
        <v>134</v>
      </c>
      <c r="C983" s="6" t="s">
        <v>520</v>
      </c>
      <c r="D983" s="7" t="s">
        <v>1396</v>
      </c>
      <c r="E983" s="7" t="s">
        <v>522</v>
      </c>
      <c r="F983" s="12">
        <v>45644</v>
      </c>
      <c r="G983" s="9">
        <v>2000</v>
      </c>
      <c r="H983" s="6">
        <v>1</v>
      </c>
      <c r="I983" s="9">
        <v>2000</v>
      </c>
    </row>
    <row r="984" spans="1:9" ht="14.25">
      <c r="A984" s="6">
        <v>980</v>
      </c>
      <c r="B984" s="7" t="s">
        <v>486</v>
      </c>
      <c r="C984" s="6" t="s">
        <v>520</v>
      </c>
      <c r="D984" s="7" t="s">
        <v>1397</v>
      </c>
      <c r="E984" s="7" t="s">
        <v>528</v>
      </c>
      <c r="F984" s="12">
        <v>44134</v>
      </c>
      <c r="G984" s="9">
        <v>119</v>
      </c>
      <c r="H984" s="6">
        <v>2</v>
      </c>
      <c r="I984" s="9">
        <v>59.5</v>
      </c>
    </row>
    <row r="985" spans="1:9" ht="14.25">
      <c r="A985" s="6">
        <v>981</v>
      </c>
      <c r="B985" s="7" t="s">
        <v>486</v>
      </c>
      <c r="C985" s="6" t="s">
        <v>520</v>
      </c>
      <c r="D985" s="7" t="s">
        <v>1060</v>
      </c>
      <c r="E985" s="7" t="s">
        <v>528</v>
      </c>
      <c r="F985" s="12">
        <v>44244</v>
      </c>
      <c r="G985" s="9">
        <v>42</v>
      </c>
      <c r="H985" s="6">
        <v>2</v>
      </c>
      <c r="I985" s="9">
        <v>21</v>
      </c>
    </row>
    <row r="986" spans="1:9" ht="14.25">
      <c r="A986" s="6">
        <v>982</v>
      </c>
      <c r="B986" s="7" t="s">
        <v>368</v>
      </c>
      <c r="C986" s="6" t="s">
        <v>520</v>
      </c>
      <c r="D986" s="7" t="s">
        <v>1398</v>
      </c>
      <c r="E986" s="7" t="s">
        <v>522</v>
      </c>
      <c r="F986" s="12">
        <v>44552</v>
      </c>
      <c r="G986" s="9">
        <v>70.5</v>
      </c>
      <c r="H986" s="6">
        <v>1</v>
      </c>
      <c r="I986" s="9">
        <v>70.5</v>
      </c>
    </row>
    <row r="987" spans="1:9" ht="14.25">
      <c r="A987" s="6">
        <v>983</v>
      </c>
      <c r="B987" s="7" t="s">
        <v>368</v>
      </c>
      <c r="C987" s="6" t="s">
        <v>520</v>
      </c>
      <c r="D987" s="7" t="s">
        <v>1399</v>
      </c>
      <c r="E987" s="7" t="s">
        <v>522</v>
      </c>
      <c r="F987" s="12">
        <v>44610</v>
      </c>
      <c r="G987" s="9">
        <v>311</v>
      </c>
      <c r="H987" s="6">
        <v>1</v>
      </c>
      <c r="I987" s="9">
        <v>311</v>
      </c>
    </row>
    <row r="988" spans="1:9" ht="14.25">
      <c r="A988" s="6">
        <v>984</v>
      </c>
      <c r="B988" s="7" t="s">
        <v>368</v>
      </c>
      <c r="C988" s="6" t="s">
        <v>520</v>
      </c>
      <c r="D988" s="7" t="s">
        <v>1400</v>
      </c>
      <c r="E988" s="7" t="s">
        <v>522</v>
      </c>
      <c r="F988" s="12">
        <v>45180</v>
      </c>
      <c r="G988" s="9">
        <v>55</v>
      </c>
      <c r="H988" s="6">
        <v>1</v>
      </c>
      <c r="I988" s="9">
        <v>55</v>
      </c>
    </row>
    <row r="989" spans="1:9" ht="14.25">
      <c r="A989" s="6">
        <v>985</v>
      </c>
      <c r="B989" s="7" t="s">
        <v>388</v>
      </c>
      <c r="C989" s="6" t="s">
        <v>520</v>
      </c>
      <c r="D989" s="7" t="s">
        <v>1401</v>
      </c>
      <c r="E989" s="7" t="s">
        <v>522</v>
      </c>
      <c r="F989" s="12">
        <v>44377</v>
      </c>
      <c r="G989" s="9">
        <v>250</v>
      </c>
      <c r="H989" s="6">
        <v>1</v>
      </c>
      <c r="I989" s="9">
        <v>250</v>
      </c>
    </row>
    <row r="990" spans="1:9" ht="14.25">
      <c r="A990" s="6">
        <v>986</v>
      </c>
      <c r="B990" s="7" t="s">
        <v>388</v>
      </c>
      <c r="C990" s="6" t="s">
        <v>520</v>
      </c>
      <c r="D990" s="7" t="s">
        <v>1402</v>
      </c>
      <c r="E990" s="7" t="s">
        <v>522</v>
      </c>
      <c r="F990" s="12">
        <v>44483</v>
      </c>
      <c r="G990" s="9">
        <v>5</v>
      </c>
      <c r="H990" s="6">
        <v>1</v>
      </c>
      <c r="I990" s="9">
        <v>5</v>
      </c>
    </row>
    <row r="991" spans="1:9" ht="14.25">
      <c r="A991" s="6">
        <v>987</v>
      </c>
      <c r="B991" s="7" t="s">
        <v>507</v>
      </c>
      <c r="C991" s="6" t="s">
        <v>520</v>
      </c>
      <c r="D991" s="7" t="s">
        <v>1403</v>
      </c>
      <c r="E991" s="7" t="s">
        <v>522</v>
      </c>
      <c r="F991" s="12">
        <v>44476</v>
      </c>
      <c r="G991" s="9">
        <v>21</v>
      </c>
      <c r="H991" s="6">
        <v>1</v>
      </c>
      <c r="I991" s="9">
        <v>21</v>
      </c>
    </row>
    <row r="992" spans="1:9" ht="14.25">
      <c r="A992" s="6">
        <v>988</v>
      </c>
      <c r="B992" s="7" t="s">
        <v>46</v>
      </c>
      <c r="C992" s="6" t="s">
        <v>536</v>
      </c>
      <c r="D992" s="7" t="s">
        <v>723</v>
      </c>
      <c r="E992" s="7" t="s">
        <v>544</v>
      </c>
      <c r="F992" s="12">
        <v>43584</v>
      </c>
      <c r="G992" s="9">
        <v>1066</v>
      </c>
      <c r="H992" s="6">
        <v>2</v>
      </c>
      <c r="I992" s="9">
        <v>533</v>
      </c>
    </row>
    <row r="993" spans="1:9" ht="14.25">
      <c r="A993" s="6">
        <v>989</v>
      </c>
      <c r="B993" s="7" t="s">
        <v>46</v>
      </c>
      <c r="C993" s="6" t="s">
        <v>520</v>
      </c>
      <c r="D993" s="7" t="s">
        <v>1404</v>
      </c>
      <c r="E993" s="7" t="s">
        <v>544</v>
      </c>
      <c r="F993" s="12">
        <v>44559</v>
      </c>
      <c r="G993" s="9">
        <v>1500</v>
      </c>
      <c r="H993" s="6">
        <v>1</v>
      </c>
      <c r="I993" s="9">
        <v>1500</v>
      </c>
    </row>
    <row r="994" spans="1:9" ht="14.25">
      <c r="A994" s="6">
        <v>990</v>
      </c>
      <c r="B994" s="7" t="s">
        <v>46</v>
      </c>
      <c r="C994" s="6" t="s">
        <v>520</v>
      </c>
      <c r="D994" s="7" t="s">
        <v>1405</v>
      </c>
      <c r="E994" s="7" t="s">
        <v>544</v>
      </c>
      <c r="F994" s="12">
        <v>44693</v>
      </c>
      <c r="G994" s="9">
        <v>7001</v>
      </c>
      <c r="H994" s="6">
        <v>1</v>
      </c>
      <c r="I994" s="9">
        <v>7001</v>
      </c>
    </row>
    <row r="995" spans="1:9" ht="14.25">
      <c r="A995" s="6">
        <v>991</v>
      </c>
      <c r="B995" s="7" t="s">
        <v>46</v>
      </c>
      <c r="C995" s="6" t="s">
        <v>520</v>
      </c>
      <c r="D995" s="7" t="s">
        <v>653</v>
      </c>
      <c r="E995" s="7" t="s">
        <v>522</v>
      </c>
      <c r="F995" s="12">
        <v>45425</v>
      </c>
      <c r="G995" s="9">
        <v>451</v>
      </c>
      <c r="H995" s="6">
        <v>2</v>
      </c>
      <c r="I995" s="9">
        <v>225.5</v>
      </c>
    </row>
    <row r="996" spans="1:9" ht="14.25">
      <c r="A996" s="6">
        <v>992</v>
      </c>
      <c r="B996" s="7" t="s">
        <v>46</v>
      </c>
      <c r="C996" s="6" t="s">
        <v>520</v>
      </c>
      <c r="D996" s="7" t="s">
        <v>1406</v>
      </c>
      <c r="E996" s="7" t="s">
        <v>522</v>
      </c>
      <c r="F996" s="12">
        <v>45408</v>
      </c>
      <c r="G996" s="9">
        <v>158</v>
      </c>
      <c r="H996" s="6">
        <v>1</v>
      </c>
      <c r="I996" s="9">
        <v>158</v>
      </c>
    </row>
    <row r="997" spans="1:9" ht="14.25">
      <c r="A997" s="6">
        <v>993</v>
      </c>
      <c r="B997" s="7" t="s">
        <v>46</v>
      </c>
      <c r="C997" s="6" t="s">
        <v>520</v>
      </c>
      <c r="D997" s="7" t="s">
        <v>887</v>
      </c>
      <c r="E997" s="7" t="s">
        <v>522</v>
      </c>
      <c r="F997" s="12">
        <v>45428</v>
      </c>
      <c r="G997" s="9">
        <v>418.1</v>
      </c>
      <c r="H997" s="6">
        <v>2</v>
      </c>
      <c r="I997" s="9">
        <v>209.1</v>
      </c>
    </row>
    <row r="998" spans="1:9" ht="14.25">
      <c r="A998" s="6">
        <v>994</v>
      </c>
      <c r="B998" s="7" t="s">
        <v>46</v>
      </c>
      <c r="C998" s="6" t="s">
        <v>520</v>
      </c>
      <c r="D998" s="7" t="s">
        <v>888</v>
      </c>
      <c r="E998" s="7" t="s">
        <v>522</v>
      </c>
      <c r="F998" s="12">
        <v>45309</v>
      </c>
      <c r="G998" s="9">
        <v>184</v>
      </c>
      <c r="H998" s="6">
        <v>2</v>
      </c>
      <c r="I998" s="9">
        <v>92</v>
      </c>
    </row>
    <row r="999" spans="1:9" ht="14.25">
      <c r="A999" s="6">
        <v>995</v>
      </c>
      <c r="B999" s="7" t="s">
        <v>72</v>
      </c>
      <c r="C999" s="6" t="s">
        <v>520</v>
      </c>
      <c r="D999" s="13" t="s">
        <v>1407</v>
      </c>
      <c r="E999" s="7" t="s">
        <v>522</v>
      </c>
      <c r="F999" s="12">
        <v>43581</v>
      </c>
      <c r="G999" s="9">
        <v>3000</v>
      </c>
      <c r="H999" s="6">
        <v>1</v>
      </c>
      <c r="I999" s="9">
        <v>3000</v>
      </c>
    </row>
    <row r="1000" spans="1:9" ht="14.25">
      <c r="A1000" s="6">
        <v>996</v>
      </c>
      <c r="B1000" s="7" t="s">
        <v>72</v>
      </c>
      <c r="C1000" s="6" t="s">
        <v>520</v>
      </c>
      <c r="D1000" s="7" t="s">
        <v>1196</v>
      </c>
      <c r="E1000" s="7" t="s">
        <v>544</v>
      </c>
      <c r="F1000" s="12">
        <v>43616</v>
      </c>
      <c r="G1000" s="9">
        <v>1551</v>
      </c>
      <c r="H1000" s="6">
        <v>2</v>
      </c>
      <c r="I1000" s="9">
        <v>775.5</v>
      </c>
    </row>
    <row r="1001" spans="1:9" ht="14.25">
      <c r="A1001" s="6">
        <v>997</v>
      </c>
      <c r="B1001" s="7" t="s">
        <v>72</v>
      </c>
      <c r="C1001" s="6" t="s">
        <v>520</v>
      </c>
      <c r="D1001" s="13" t="s">
        <v>1408</v>
      </c>
      <c r="E1001" s="7" t="s">
        <v>522</v>
      </c>
      <c r="F1001" s="12">
        <v>44648</v>
      </c>
      <c r="G1001" s="9">
        <v>4067</v>
      </c>
      <c r="H1001" s="6">
        <v>1</v>
      </c>
      <c r="I1001" s="9">
        <v>4067</v>
      </c>
    </row>
    <row r="1002" spans="1:9" ht="14.25">
      <c r="A1002" s="6">
        <v>998</v>
      </c>
      <c r="B1002" s="7" t="s">
        <v>430</v>
      </c>
      <c r="C1002" s="6" t="s">
        <v>520</v>
      </c>
      <c r="D1002" s="7" t="s">
        <v>1409</v>
      </c>
      <c r="E1002" s="7" t="s">
        <v>522</v>
      </c>
      <c r="F1002" s="12">
        <v>44631</v>
      </c>
      <c r="G1002" s="9">
        <v>145</v>
      </c>
      <c r="H1002" s="6">
        <v>1</v>
      </c>
      <c r="I1002" s="9">
        <v>145</v>
      </c>
    </row>
    <row r="1003" spans="1:9" ht="14.25">
      <c r="A1003" s="6">
        <v>999</v>
      </c>
      <c r="B1003" s="7" t="s">
        <v>430</v>
      </c>
      <c r="C1003" s="6" t="s">
        <v>520</v>
      </c>
      <c r="D1003" s="7" t="s">
        <v>1410</v>
      </c>
      <c r="E1003" s="7" t="s">
        <v>522</v>
      </c>
      <c r="F1003" s="12">
        <v>45379</v>
      </c>
      <c r="G1003" s="9">
        <v>15</v>
      </c>
      <c r="H1003" s="6">
        <v>1</v>
      </c>
      <c r="I1003" s="9">
        <v>15</v>
      </c>
    </row>
    <row r="1004" spans="1:9" ht="14.25">
      <c r="A1004" s="6">
        <v>1000</v>
      </c>
      <c r="B1004" s="7" t="s">
        <v>416</v>
      </c>
      <c r="C1004" s="6" t="s">
        <v>520</v>
      </c>
      <c r="D1004" s="7" t="s">
        <v>1411</v>
      </c>
      <c r="E1004" s="7" t="s">
        <v>528</v>
      </c>
      <c r="F1004" s="12">
        <v>43291</v>
      </c>
      <c r="G1004" s="9">
        <v>200</v>
      </c>
      <c r="H1004" s="6">
        <v>1</v>
      </c>
      <c r="I1004" s="9">
        <v>200</v>
      </c>
    </row>
    <row r="1005" spans="1:9" ht="14.25">
      <c r="A1005" s="6">
        <v>1001</v>
      </c>
      <c r="B1005" s="7" t="s">
        <v>416</v>
      </c>
      <c r="C1005" s="6" t="s">
        <v>520</v>
      </c>
      <c r="D1005" s="7" t="s">
        <v>1412</v>
      </c>
      <c r="E1005" s="7" t="s">
        <v>522</v>
      </c>
      <c r="F1005" s="12">
        <v>44475</v>
      </c>
      <c r="G1005" s="9">
        <v>31</v>
      </c>
      <c r="H1005" s="6">
        <v>1</v>
      </c>
      <c r="I1005" s="9">
        <v>31</v>
      </c>
    </row>
    <row r="1006" spans="1:9" ht="14.25">
      <c r="A1006" s="6">
        <v>1002</v>
      </c>
      <c r="B1006" s="7" t="s">
        <v>416</v>
      </c>
      <c r="C1006" s="6" t="s">
        <v>520</v>
      </c>
      <c r="D1006" s="7" t="s">
        <v>1413</v>
      </c>
      <c r="E1006" s="7" t="s">
        <v>522</v>
      </c>
      <c r="F1006" s="12">
        <v>44614</v>
      </c>
      <c r="G1006" s="9">
        <v>100</v>
      </c>
      <c r="H1006" s="6">
        <v>1</v>
      </c>
      <c r="I1006" s="9">
        <v>100</v>
      </c>
    </row>
    <row r="1007" spans="1:9" ht="14.25">
      <c r="A1007" s="6">
        <v>1003</v>
      </c>
      <c r="B1007" s="7" t="s">
        <v>52</v>
      </c>
      <c r="C1007" s="6" t="s">
        <v>520</v>
      </c>
      <c r="D1007" s="7" t="s">
        <v>1414</v>
      </c>
      <c r="E1007" s="7" t="s">
        <v>522</v>
      </c>
      <c r="F1007" s="12">
        <v>43097</v>
      </c>
      <c r="G1007" s="9">
        <v>2600</v>
      </c>
      <c r="H1007" s="6">
        <v>1</v>
      </c>
      <c r="I1007" s="9">
        <v>2600</v>
      </c>
    </row>
    <row r="1008" spans="1:9" ht="14.25">
      <c r="A1008" s="6">
        <v>1004</v>
      </c>
      <c r="B1008" s="7" t="s">
        <v>52</v>
      </c>
      <c r="C1008" s="6" t="s">
        <v>520</v>
      </c>
      <c r="D1008" s="7" t="s">
        <v>1415</v>
      </c>
      <c r="E1008" s="7" t="s">
        <v>522</v>
      </c>
      <c r="F1008" s="12">
        <v>42835</v>
      </c>
      <c r="G1008" s="9">
        <v>106</v>
      </c>
      <c r="H1008" s="6">
        <v>1</v>
      </c>
      <c r="I1008" s="9">
        <v>106</v>
      </c>
    </row>
    <row r="1009" spans="1:9" ht="14.25">
      <c r="A1009" s="6">
        <v>1005</v>
      </c>
      <c r="B1009" s="7" t="s">
        <v>52</v>
      </c>
      <c r="C1009" s="6" t="s">
        <v>520</v>
      </c>
      <c r="D1009" s="7" t="s">
        <v>1416</v>
      </c>
      <c r="E1009" s="7" t="s">
        <v>522</v>
      </c>
      <c r="F1009" s="12">
        <v>43210</v>
      </c>
      <c r="G1009" s="9">
        <v>1531</v>
      </c>
      <c r="H1009" s="6">
        <v>1</v>
      </c>
      <c r="I1009" s="9">
        <v>1531</v>
      </c>
    </row>
    <row r="1010" spans="1:9" ht="14.25">
      <c r="A1010" s="6">
        <v>1006</v>
      </c>
      <c r="B1010" s="7" t="s">
        <v>52</v>
      </c>
      <c r="C1010" s="6" t="s">
        <v>520</v>
      </c>
      <c r="D1010" s="7" t="s">
        <v>1417</v>
      </c>
      <c r="E1010" s="7" t="s">
        <v>522</v>
      </c>
      <c r="F1010" s="12">
        <v>44483</v>
      </c>
      <c r="G1010" s="9">
        <v>2041</v>
      </c>
      <c r="H1010" s="6">
        <v>1</v>
      </c>
      <c r="I1010" s="9">
        <v>2041</v>
      </c>
    </row>
    <row r="1011" spans="1:9" ht="14.25">
      <c r="A1011" s="6">
        <v>1007</v>
      </c>
      <c r="B1011" s="7" t="s">
        <v>52</v>
      </c>
      <c r="C1011" s="6" t="s">
        <v>520</v>
      </c>
      <c r="D1011" s="7" t="s">
        <v>1418</v>
      </c>
      <c r="E1011" s="7" t="s">
        <v>522</v>
      </c>
      <c r="F1011" s="12">
        <v>44543</v>
      </c>
      <c r="G1011" s="9">
        <v>963</v>
      </c>
      <c r="H1011" s="6">
        <v>1</v>
      </c>
      <c r="I1011" s="9">
        <v>963</v>
      </c>
    </row>
    <row r="1012" spans="1:9" ht="14.25">
      <c r="A1012" s="6">
        <v>1008</v>
      </c>
      <c r="B1012" s="7" t="s">
        <v>52</v>
      </c>
      <c r="C1012" s="6" t="s">
        <v>520</v>
      </c>
      <c r="D1012" s="7" t="s">
        <v>1419</v>
      </c>
      <c r="E1012" s="7" t="s">
        <v>522</v>
      </c>
      <c r="F1012" s="12">
        <v>44483</v>
      </c>
      <c r="G1012" s="9">
        <v>1638</v>
      </c>
      <c r="H1012" s="6">
        <v>1</v>
      </c>
      <c r="I1012" s="9">
        <v>1638</v>
      </c>
    </row>
    <row r="1013" spans="1:9" ht="14.25">
      <c r="A1013" s="6">
        <v>1009</v>
      </c>
      <c r="B1013" s="7" t="s">
        <v>52</v>
      </c>
      <c r="C1013" s="6" t="s">
        <v>520</v>
      </c>
      <c r="D1013" s="7" t="s">
        <v>1420</v>
      </c>
      <c r="E1013" s="7" t="s">
        <v>522</v>
      </c>
      <c r="F1013" s="12">
        <v>44483</v>
      </c>
      <c r="G1013" s="9">
        <v>6150</v>
      </c>
      <c r="H1013" s="6">
        <v>1</v>
      </c>
      <c r="I1013" s="9">
        <v>6150</v>
      </c>
    </row>
    <row r="1014" spans="1:9" ht="14.25">
      <c r="A1014" s="6">
        <v>1010</v>
      </c>
      <c r="B1014" s="7" t="s">
        <v>52</v>
      </c>
      <c r="C1014" s="6" t="s">
        <v>520</v>
      </c>
      <c r="D1014" s="7" t="s">
        <v>1421</v>
      </c>
      <c r="E1014" s="7" t="s">
        <v>522</v>
      </c>
      <c r="F1014" s="12">
        <v>44266</v>
      </c>
      <c r="G1014" s="9">
        <v>530</v>
      </c>
      <c r="H1014" s="6">
        <v>1</v>
      </c>
      <c r="I1014" s="9">
        <v>530</v>
      </c>
    </row>
    <row r="1015" spans="1:9" ht="14.25">
      <c r="A1015" s="6">
        <v>1011</v>
      </c>
      <c r="B1015" s="7" t="s">
        <v>387</v>
      </c>
      <c r="C1015" s="6" t="s">
        <v>520</v>
      </c>
      <c r="D1015" s="7" t="s">
        <v>1422</v>
      </c>
      <c r="E1015" s="7" t="s">
        <v>528</v>
      </c>
      <c r="F1015" s="12">
        <v>44328</v>
      </c>
      <c r="G1015" s="9">
        <v>77.7</v>
      </c>
      <c r="H1015" s="6">
        <v>1</v>
      </c>
      <c r="I1015" s="9">
        <v>77.7</v>
      </c>
    </row>
    <row r="1016" spans="1:9" ht="14.25">
      <c r="A1016" s="6">
        <v>1012</v>
      </c>
      <c r="B1016" s="7" t="s">
        <v>387</v>
      </c>
      <c r="C1016" s="6" t="s">
        <v>520</v>
      </c>
      <c r="D1016" s="7" t="s">
        <v>1423</v>
      </c>
      <c r="E1016" s="7" t="s">
        <v>528</v>
      </c>
      <c r="F1016" s="12">
        <v>44336</v>
      </c>
      <c r="G1016" s="9">
        <v>30.5</v>
      </c>
      <c r="H1016" s="6">
        <v>1</v>
      </c>
      <c r="I1016" s="9">
        <v>30.5</v>
      </c>
    </row>
    <row r="1017" spans="1:9" ht="14.25">
      <c r="A1017" s="6">
        <v>1013</v>
      </c>
      <c r="B1017" s="7" t="s">
        <v>387</v>
      </c>
      <c r="C1017" s="6" t="s">
        <v>520</v>
      </c>
      <c r="D1017" s="7" t="s">
        <v>1424</v>
      </c>
      <c r="E1017" s="7" t="s">
        <v>528</v>
      </c>
      <c r="F1017" s="12">
        <v>44242</v>
      </c>
      <c r="G1017" s="9">
        <v>26</v>
      </c>
      <c r="H1017" s="6">
        <v>1</v>
      </c>
      <c r="I1017" s="9">
        <v>26</v>
      </c>
    </row>
    <row r="1018" spans="1:9" ht="14.25">
      <c r="A1018" s="6">
        <v>1014</v>
      </c>
      <c r="B1018" s="7" t="s">
        <v>387</v>
      </c>
      <c r="C1018" s="6" t="s">
        <v>520</v>
      </c>
      <c r="D1018" s="7" t="s">
        <v>1425</v>
      </c>
      <c r="E1018" s="7" t="s">
        <v>528</v>
      </c>
      <c r="F1018" s="12">
        <v>44477</v>
      </c>
      <c r="G1018" s="9">
        <v>257</v>
      </c>
      <c r="H1018" s="6">
        <v>1</v>
      </c>
      <c r="I1018" s="9">
        <v>257</v>
      </c>
    </row>
    <row r="1019" spans="1:9" ht="14.25">
      <c r="A1019" s="6">
        <v>1015</v>
      </c>
      <c r="B1019" s="7" t="s">
        <v>387</v>
      </c>
      <c r="C1019" s="6" t="s">
        <v>520</v>
      </c>
      <c r="D1019" s="7" t="s">
        <v>1426</v>
      </c>
      <c r="E1019" s="7" t="s">
        <v>522</v>
      </c>
      <c r="F1019" s="12">
        <v>44664</v>
      </c>
      <c r="G1019" s="9">
        <v>51</v>
      </c>
      <c r="H1019" s="6">
        <v>1</v>
      </c>
      <c r="I1019" s="9">
        <v>51</v>
      </c>
    </row>
    <row r="1020" spans="1:9" ht="14.25">
      <c r="A1020" s="6">
        <v>1016</v>
      </c>
      <c r="B1020" s="7" t="s">
        <v>387</v>
      </c>
      <c r="C1020" s="6" t="s">
        <v>536</v>
      </c>
      <c r="D1020" s="7" t="s">
        <v>556</v>
      </c>
      <c r="E1020" s="7" t="s">
        <v>522</v>
      </c>
      <c r="F1020" s="12">
        <v>45588</v>
      </c>
      <c r="G1020" s="9">
        <v>142.1</v>
      </c>
      <c r="H1020" s="6">
        <v>2</v>
      </c>
      <c r="I1020" s="9">
        <v>71</v>
      </c>
    </row>
    <row r="1021" spans="1:9" ht="14.25">
      <c r="A1021" s="6">
        <v>1017</v>
      </c>
      <c r="B1021" s="7" t="s">
        <v>387</v>
      </c>
      <c r="C1021" s="6" t="s">
        <v>520</v>
      </c>
      <c r="D1021" s="7" t="s">
        <v>1427</v>
      </c>
      <c r="E1021" s="7" t="s">
        <v>522</v>
      </c>
      <c r="F1021" s="12">
        <v>45394</v>
      </c>
      <c r="G1021" s="9">
        <v>51</v>
      </c>
      <c r="H1021" s="6">
        <v>1</v>
      </c>
      <c r="I1021" s="9">
        <v>51</v>
      </c>
    </row>
    <row r="1022" spans="1:9" ht="14.25">
      <c r="A1022" s="6">
        <v>1018</v>
      </c>
      <c r="B1022" s="7" t="s">
        <v>426</v>
      </c>
      <c r="C1022" s="6" t="s">
        <v>520</v>
      </c>
      <c r="D1022" s="7" t="s">
        <v>1428</v>
      </c>
      <c r="E1022" s="7" t="s">
        <v>522</v>
      </c>
      <c r="F1022" s="12">
        <v>44132</v>
      </c>
      <c r="G1022" s="9">
        <v>150.4</v>
      </c>
      <c r="H1022" s="6">
        <v>1</v>
      </c>
      <c r="I1022" s="9">
        <v>150.4</v>
      </c>
    </row>
    <row r="1023" spans="1:9" ht="14.25">
      <c r="A1023" s="6">
        <v>1019</v>
      </c>
      <c r="B1023" s="7" t="s">
        <v>426</v>
      </c>
      <c r="C1023" s="6" t="s">
        <v>520</v>
      </c>
      <c r="D1023" s="7" t="s">
        <v>1429</v>
      </c>
      <c r="E1023" s="7" t="s">
        <v>522</v>
      </c>
      <c r="F1023" s="12">
        <v>44385</v>
      </c>
      <c r="G1023" s="9">
        <v>22.2</v>
      </c>
      <c r="H1023" s="6">
        <v>1</v>
      </c>
      <c r="I1023" s="9">
        <v>22.2</v>
      </c>
    </row>
    <row r="1024" spans="1:9" ht="14.25">
      <c r="A1024" s="6">
        <v>1020</v>
      </c>
      <c r="B1024" s="7" t="s">
        <v>197</v>
      </c>
      <c r="C1024" s="6" t="s">
        <v>536</v>
      </c>
      <c r="D1024" s="7" t="s">
        <v>1153</v>
      </c>
      <c r="E1024" s="7" t="s">
        <v>544</v>
      </c>
      <c r="F1024" s="12">
        <v>43784</v>
      </c>
      <c r="G1024" s="9">
        <v>900</v>
      </c>
      <c r="H1024" s="6">
        <v>2</v>
      </c>
      <c r="I1024" s="9">
        <v>450</v>
      </c>
    </row>
    <row r="1025" spans="1:9" ht="14.25">
      <c r="A1025" s="6">
        <v>1021</v>
      </c>
      <c r="B1025" s="7" t="s">
        <v>197</v>
      </c>
      <c r="C1025" s="6" t="s">
        <v>520</v>
      </c>
      <c r="D1025" s="7" t="s">
        <v>1430</v>
      </c>
      <c r="E1025" s="7" t="s">
        <v>522</v>
      </c>
      <c r="F1025" s="12">
        <v>44067</v>
      </c>
      <c r="G1025" s="9">
        <v>520</v>
      </c>
      <c r="H1025" s="6">
        <v>1</v>
      </c>
      <c r="I1025" s="9">
        <v>520</v>
      </c>
    </row>
    <row r="1026" spans="1:9" ht="14.25">
      <c r="A1026" s="6">
        <v>1022</v>
      </c>
      <c r="B1026" s="7" t="s">
        <v>197</v>
      </c>
      <c r="C1026" s="6" t="s">
        <v>520</v>
      </c>
      <c r="D1026" s="7" t="s">
        <v>1431</v>
      </c>
      <c r="E1026" s="7" t="s">
        <v>522</v>
      </c>
      <c r="F1026" s="12">
        <v>44132</v>
      </c>
      <c r="G1026" s="9">
        <v>1203</v>
      </c>
      <c r="H1026" s="6">
        <v>1</v>
      </c>
      <c r="I1026" s="9">
        <v>1203</v>
      </c>
    </row>
    <row r="1027" spans="1:9" ht="14.25">
      <c r="A1027" s="6">
        <v>1023</v>
      </c>
      <c r="B1027" s="7" t="s">
        <v>197</v>
      </c>
      <c r="C1027" s="6" t="s">
        <v>520</v>
      </c>
      <c r="D1027" s="7" t="s">
        <v>733</v>
      </c>
      <c r="E1027" s="7" t="s">
        <v>522</v>
      </c>
      <c r="F1027" s="12">
        <v>44431</v>
      </c>
      <c r="G1027" s="9">
        <v>910</v>
      </c>
      <c r="H1027" s="6">
        <v>2</v>
      </c>
      <c r="I1027" s="9">
        <v>455</v>
      </c>
    </row>
    <row r="1028" spans="1:9" ht="14.25">
      <c r="A1028" s="6">
        <v>1024</v>
      </c>
      <c r="B1028" s="7" t="s">
        <v>463</v>
      </c>
      <c r="C1028" s="6" t="s">
        <v>520</v>
      </c>
      <c r="D1028" s="7" t="s">
        <v>738</v>
      </c>
      <c r="E1028" s="7" t="s">
        <v>544</v>
      </c>
      <c r="F1028" s="12">
        <v>45364</v>
      </c>
      <c r="G1028" s="9">
        <v>202</v>
      </c>
      <c r="H1028" s="6">
        <v>2</v>
      </c>
      <c r="I1028" s="9">
        <v>101</v>
      </c>
    </row>
    <row r="1029" spans="1:9" ht="14.25">
      <c r="A1029" s="6">
        <v>1025</v>
      </c>
      <c r="B1029" s="7" t="s">
        <v>356</v>
      </c>
      <c r="C1029" s="6" t="s">
        <v>1198</v>
      </c>
      <c r="D1029" s="7" t="s">
        <v>629</v>
      </c>
      <c r="E1029" s="7" t="s">
        <v>522</v>
      </c>
      <c r="F1029" s="12">
        <v>44760</v>
      </c>
      <c r="G1029" s="9">
        <v>1053</v>
      </c>
      <c r="H1029" s="6">
        <v>3</v>
      </c>
      <c r="I1029" s="9">
        <v>351</v>
      </c>
    </row>
    <row r="1030" spans="1:9" ht="14.25">
      <c r="A1030" s="6">
        <v>1026</v>
      </c>
      <c r="B1030" s="7" t="s">
        <v>410</v>
      </c>
      <c r="C1030" s="6" t="s">
        <v>520</v>
      </c>
      <c r="D1030" s="7" t="s">
        <v>805</v>
      </c>
      <c r="E1030" s="7" t="s">
        <v>528</v>
      </c>
      <c r="F1030" s="12">
        <v>44559</v>
      </c>
      <c r="G1030" s="9">
        <v>407</v>
      </c>
      <c r="H1030" s="6">
        <v>2</v>
      </c>
      <c r="I1030" s="9">
        <v>203.5</v>
      </c>
    </row>
    <row r="1031" spans="1:9" ht="14.25">
      <c r="A1031" s="6">
        <v>1027</v>
      </c>
      <c r="B1031" s="7" t="s">
        <v>282</v>
      </c>
      <c r="C1031" s="6" t="s">
        <v>520</v>
      </c>
      <c r="D1031" s="7" t="s">
        <v>797</v>
      </c>
      <c r="E1031" s="7" t="s">
        <v>522</v>
      </c>
      <c r="F1031" s="12">
        <v>44522</v>
      </c>
      <c r="G1031" s="9">
        <v>143.6</v>
      </c>
      <c r="H1031" s="6">
        <v>2</v>
      </c>
      <c r="I1031" s="9">
        <v>71.8</v>
      </c>
    </row>
    <row r="1032" spans="1:9" ht="14.25">
      <c r="A1032" s="6">
        <v>1028</v>
      </c>
      <c r="B1032" s="7" t="s">
        <v>282</v>
      </c>
      <c r="C1032" s="6" t="s">
        <v>536</v>
      </c>
      <c r="D1032" s="7" t="s">
        <v>837</v>
      </c>
      <c r="E1032" s="7" t="s">
        <v>544</v>
      </c>
      <c r="F1032" s="12">
        <v>44406</v>
      </c>
      <c r="G1032" s="9">
        <v>154.19999999999999</v>
      </c>
      <c r="H1032" s="6">
        <v>2</v>
      </c>
      <c r="I1032" s="9">
        <v>77.099999999999994</v>
      </c>
    </row>
    <row r="1033" spans="1:9" ht="14.25">
      <c r="A1033" s="6">
        <v>1029</v>
      </c>
      <c r="B1033" s="7" t="s">
        <v>282</v>
      </c>
      <c r="C1033" s="6" t="s">
        <v>520</v>
      </c>
      <c r="D1033" s="7" t="s">
        <v>1432</v>
      </c>
      <c r="E1033" s="7" t="s">
        <v>528</v>
      </c>
      <c r="F1033" s="12">
        <v>44340</v>
      </c>
      <c r="G1033" s="9">
        <v>106</v>
      </c>
      <c r="H1033" s="6">
        <v>1</v>
      </c>
      <c r="I1033" s="9">
        <v>106</v>
      </c>
    </row>
    <row r="1034" spans="1:9" ht="14.25">
      <c r="A1034" s="6">
        <v>1030</v>
      </c>
      <c r="B1034" s="7" t="s">
        <v>282</v>
      </c>
      <c r="C1034" s="6" t="s">
        <v>520</v>
      </c>
      <c r="D1034" s="7" t="s">
        <v>1433</v>
      </c>
      <c r="E1034" s="7" t="s">
        <v>522</v>
      </c>
      <c r="F1034" s="12">
        <v>44462</v>
      </c>
      <c r="G1034" s="9">
        <v>501</v>
      </c>
      <c r="H1034" s="6">
        <v>1</v>
      </c>
      <c r="I1034" s="9">
        <v>501</v>
      </c>
    </row>
    <row r="1035" spans="1:9" ht="14.25">
      <c r="A1035" s="6">
        <v>1031</v>
      </c>
      <c r="B1035" s="7" t="s">
        <v>282</v>
      </c>
      <c r="C1035" s="6" t="s">
        <v>520</v>
      </c>
      <c r="D1035" s="7" t="s">
        <v>1434</v>
      </c>
      <c r="E1035" s="7" t="s">
        <v>522</v>
      </c>
      <c r="F1035" s="12">
        <v>44468</v>
      </c>
      <c r="G1035" s="9">
        <v>145</v>
      </c>
      <c r="H1035" s="6">
        <v>1</v>
      </c>
      <c r="I1035" s="9">
        <v>145</v>
      </c>
    </row>
    <row r="1036" spans="1:9" ht="14.25">
      <c r="A1036" s="6">
        <v>1032</v>
      </c>
      <c r="B1036" s="7" t="s">
        <v>282</v>
      </c>
      <c r="C1036" s="6" t="s">
        <v>536</v>
      </c>
      <c r="D1036" s="7" t="s">
        <v>1435</v>
      </c>
      <c r="E1036" s="7" t="s">
        <v>522</v>
      </c>
      <c r="F1036" s="12">
        <v>44616</v>
      </c>
      <c r="G1036" s="9">
        <v>507</v>
      </c>
      <c r="H1036" s="6">
        <v>2</v>
      </c>
      <c r="I1036" s="9">
        <v>253.5</v>
      </c>
    </row>
    <row r="1037" spans="1:9" ht="14.25">
      <c r="A1037" s="6">
        <v>1033</v>
      </c>
      <c r="B1037" s="7" t="s">
        <v>282</v>
      </c>
      <c r="C1037" s="6" t="s">
        <v>536</v>
      </c>
      <c r="D1037" s="7" t="s">
        <v>1325</v>
      </c>
      <c r="E1037" s="7" t="s">
        <v>522</v>
      </c>
      <c r="F1037" s="12">
        <v>44706</v>
      </c>
      <c r="G1037" s="9">
        <v>1450</v>
      </c>
      <c r="H1037" s="6">
        <v>2</v>
      </c>
      <c r="I1037" s="9">
        <v>725</v>
      </c>
    </row>
    <row r="1038" spans="1:9" ht="14.25">
      <c r="A1038" s="6">
        <v>1034</v>
      </c>
      <c r="B1038" s="7" t="s">
        <v>282</v>
      </c>
      <c r="C1038" s="6" t="s">
        <v>1198</v>
      </c>
      <c r="D1038" s="7" t="s">
        <v>1157</v>
      </c>
      <c r="E1038" s="7" t="s">
        <v>522</v>
      </c>
      <c r="F1038" s="12">
        <v>45160</v>
      </c>
      <c r="G1038" s="9">
        <v>913</v>
      </c>
      <c r="H1038" s="6">
        <v>3</v>
      </c>
      <c r="I1038" s="9">
        <v>304.3</v>
      </c>
    </row>
    <row r="1039" spans="1:9" ht="14.25">
      <c r="A1039" s="6">
        <v>1035</v>
      </c>
      <c r="B1039" s="7" t="s">
        <v>282</v>
      </c>
      <c r="C1039" s="6" t="s">
        <v>536</v>
      </c>
      <c r="D1039" s="7" t="s">
        <v>1436</v>
      </c>
      <c r="E1039" s="7" t="s">
        <v>522</v>
      </c>
      <c r="F1039" s="12">
        <v>45077</v>
      </c>
      <c r="G1039" s="9">
        <v>1000</v>
      </c>
      <c r="H1039" s="6">
        <v>2</v>
      </c>
      <c r="I1039" s="9">
        <v>500</v>
      </c>
    </row>
    <row r="1040" spans="1:9" ht="14.25">
      <c r="A1040" s="6">
        <v>1036</v>
      </c>
      <c r="B1040" s="7" t="s">
        <v>282</v>
      </c>
      <c r="C1040" s="6" t="s">
        <v>520</v>
      </c>
      <c r="D1040" s="7" t="s">
        <v>1437</v>
      </c>
      <c r="E1040" s="7" t="s">
        <v>522</v>
      </c>
      <c r="F1040" s="12">
        <v>45462</v>
      </c>
      <c r="G1040" s="9">
        <v>101</v>
      </c>
      <c r="H1040" s="6">
        <v>1</v>
      </c>
      <c r="I1040" s="9">
        <v>101</v>
      </c>
    </row>
    <row r="1041" spans="1:9" ht="14.25">
      <c r="A1041" s="6">
        <v>1037</v>
      </c>
      <c r="B1041" s="7" t="s">
        <v>282</v>
      </c>
      <c r="C1041" s="6" t="s">
        <v>536</v>
      </c>
      <c r="D1041" s="7" t="s">
        <v>1438</v>
      </c>
      <c r="E1041" s="7" t="s">
        <v>522</v>
      </c>
      <c r="F1041" s="12">
        <v>45617</v>
      </c>
      <c r="G1041" s="9">
        <v>1115.0999999999999</v>
      </c>
      <c r="H1041" s="6">
        <v>3</v>
      </c>
      <c r="I1041" s="9">
        <v>371.7</v>
      </c>
    </row>
    <row r="1042" spans="1:9" ht="14.25">
      <c r="A1042" s="6">
        <v>1038</v>
      </c>
      <c r="B1042" s="7" t="s">
        <v>323</v>
      </c>
      <c r="C1042" s="6" t="s">
        <v>520</v>
      </c>
      <c r="D1042" s="7" t="s">
        <v>1439</v>
      </c>
      <c r="E1042" s="7" t="s">
        <v>544</v>
      </c>
      <c r="F1042" s="12">
        <v>42543</v>
      </c>
      <c r="G1042" s="9">
        <v>157.9</v>
      </c>
      <c r="H1042" s="6">
        <v>1</v>
      </c>
      <c r="I1042" s="9">
        <v>157.9</v>
      </c>
    </row>
    <row r="1043" spans="1:9" ht="14.25">
      <c r="A1043" s="6">
        <v>1039</v>
      </c>
      <c r="B1043" s="7" t="s">
        <v>323</v>
      </c>
      <c r="C1043" s="6" t="s">
        <v>536</v>
      </c>
      <c r="D1043" s="7" t="s">
        <v>1139</v>
      </c>
      <c r="E1043" s="7" t="s">
        <v>522</v>
      </c>
      <c r="F1043" s="12">
        <v>44398</v>
      </c>
      <c r="G1043" s="9">
        <v>1055</v>
      </c>
      <c r="H1043" s="6">
        <v>2</v>
      </c>
      <c r="I1043" s="9">
        <v>527.5</v>
      </c>
    </row>
    <row r="1044" spans="1:9" ht="14.25">
      <c r="A1044" s="6">
        <v>1040</v>
      </c>
      <c r="B1044" s="7" t="s">
        <v>323</v>
      </c>
      <c r="C1044" s="6" t="s">
        <v>536</v>
      </c>
      <c r="D1044" s="7" t="s">
        <v>1238</v>
      </c>
      <c r="E1044" s="7" t="s">
        <v>522</v>
      </c>
      <c r="F1044" s="12">
        <v>44895</v>
      </c>
      <c r="G1044" s="9">
        <v>870</v>
      </c>
      <c r="H1044" s="6">
        <v>2</v>
      </c>
      <c r="I1044" s="9">
        <v>435</v>
      </c>
    </row>
    <row r="1045" spans="1:9" ht="14.25">
      <c r="A1045" s="6">
        <v>1041</v>
      </c>
      <c r="B1045" s="7" t="s">
        <v>495</v>
      </c>
      <c r="C1045" s="6" t="s">
        <v>520</v>
      </c>
      <c r="D1045" s="7" t="s">
        <v>886</v>
      </c>
      <c r="E1045" s="7" t="s">
        <v>522</v>
      </c>
      <c r="F1045" s="12">
        <v>45400</v>
      </c>
      <c r="G1045" s="9">
        <v>89</v>
      </c>
      <c r="H1045" s="6">
        <v>2</v>
      </c>
      <c r="I1045" s="9">
        <v>44.5</v>
      </c>
    </row>
    <row r="1046" spans="1:9" ht="14.25">
      <c r="A1046" s="6">
        <v>1042</v>
      </c>
      <c r="B1046" s="7" t="s">
        <v>423</v>
      </c>
      <c r="C1046" s="6" t="s">
        <v>520</v>
      </c>
      <c r="D1046" s="7" t="s">
        <v>1440</v>
      </c>
      <c r="E1046" s="7" t="s">
        <v>522</v>
      </c>
      <c r="F1046" s="12">
        <v>45407</v>
      </c>
      <c r="G1046" s="9">
        <v>160</v>
      </c>
      <c r="H1046" s="6">
        <v>1</v>
      </c>
      <c r="I1046" s="9">
        <v>160</v>
      </c>
    </row>
    <row r="1047" spans="1:9" ht="14.25">
      <c r="A1047" s="6">
        <v>1043</v>
      </c>
      <c r="B1047" s="7" t="s">
        <v>459</v>
      </c>
      <c r="C1047" s="6" t="s">
        <v>536</v>
      </c>
      <c r="D1047" s="7" t="s">
        <v>1268</v>
      </c>
      <c r="E1047" s="7" t="s">
        <v>522</v>
      </c>
      <c r="F1047" s="12">
        <v>44679</v>
      </c>
      <c r="G1047" s="9">
        <v>205</v>
      </c>
      <c r="H1047" s="6">
        <v>2</v>
      </c>
      <c r="I1047" s="9">
        <v>102.5</v>
      </c>
    </row>
    <row r="1048" spans="1:9" ht="14.25">
      <c r="A1048" s="6">
        <v>1044</v>
      </c>
      <c r="B1048" s="7" t="s">
        <v>499</v>
      </c>
      <c r="C1048" s="6" t="s">
        <v>536</v>
      </c>
      <c r="D1048" s="7" t="s">
        <v>1441</v>
      </c>
      <c r="E1048" s="7" t="s">
        <v>522</v>
      </c>
      <c r="F1048" s="12">
        <v>44827</v>
      </c>
      <c r="G1048" s="9">
        <v>75</v>
      </c>
      <c r="H1048" s="6">
        <v>2</v>
      </c>
      <c r="I1048" s="9">
        <v>37.5</v>
      </c>
    </row>
    <row r="1049" spans="1:9" ht="14.25">
      <c r="A1049" s="6">
        <v>1045</v>
      </c>
      <c r="B1049" s="7" t="s">
        <v>502</v>
      </c>
      <c r="C1049" s="6" t="s">
        <v>520</v>
      </c>
      <c r="D1049" s="7" t="s">
        <v>1442</v>
      </c>
      <c r="E1049" s="7" t="s">
        <v>522</v>
      </c>
      <c r="F1049" s="12">
        <v>45398</v>
      </c>
      <c r="G1049" s="9">
        <v>11.2</v>
      </c>
      <c r="H1049" s="6">
        <v>1</v>
      </c>
      <c r="I1049" s="9">
        <v>11.2</v>
      </c>
    </row>
    <row r="1050" spans="1:9" ht="14.25">
      <c r="A1050" s="6">
        <v>1046</v>
      </c>
      <c r="B1050" s="7" t="s">
        <v>502</v>
      </c>
      <c r="C1050" s="6" t="s">
        <v>520</v>
      </c>
      <c r="D1050" s="7" t="s">
        <v>1443</v>
      </c>
      <c r="E1050" s="7" t="s">
        <v>522</v>
      </c>
      <c r="F1050" s="12">
        <v>45540</v>
      </c>
      <c r="G1050" s="9">
        <v>31.2</v>
      </c>
      <c r="H1050" s="6">
        <v>1</v>
      </c>
      <c r="I1050" s="9">
        <v>31.2</v>
      </c>
    </row>
    <row r="1051" spans="1:9" ht="14.25">
      <c r="A1051" s="6">
        <v>1047</v>
      </c>
      <c r="B1051" s="7" t="s">
        <v>505</v>
      </c>
      <c r="C1051" s="6" t="s">
        <v>520</v>
      </c>
      <c r="D1051" s="7" t="s">
        <v>1444</v>
      </c>
      <c r="E1051" s="7" t="s">
        <v>522</v>
      </c>
      <c r="F1051" s="12">
        <v>44230</v>
      </c>
      <c r="G1051" s="9">
        <v>24</v>
      </c>
      <c r="H1051" s="6">
        <v>1</v>
      </c>
      <c r="I1051" s="9">
        <v>24</v>
      </c>
    </row>
    <row r="1052" spans="1:9" ht="14.25">
      <c r="A1052" s="6">
        <v>1048</v>
      </c>
      <c r="B1052" s="7" t="s">
        <v>448</v>
      </c>
      <c r="C1052" s="6" t="s">
        <v>536</v>
      </c>
      <c r="D1052" s="7" t="s">
        <v>712</v>
      </c>
      <c r="E1052" s="7" t="s">
        <v>522</v>
      </c>
      <c r="F1052" s="12">
        <v>44411</v>
      </c>
      <c r="G1052" s="9">
        <v>219</v>
      </c>
      <c r="H1052" s="6">
        <v>2</v>
      </c>
      <c r="I1052" s="9">
        <v>109.5</v>
      </c>
    </row>
    <row r="1053" spans="1:9" ht="14.25">
      <c r="A1053" s="6">
        <v>1049</v>
      </c>
      <c r="B1053" s="7" t="s">
        <v>351</v>
      </c>
      <c r="C1053" s="6" t="s">
        <v>536</v>
      </c>
      <c r="D1053" s="7" t="s">
        <v>1166</v>
      </c>
      <c r="E1053" s="7" t="s">
        <v>522</v>
      </c>
      <c r="F1053" s="12">
        <v>45223</v>
      </c>
      <c r="G1053" s="9">
        <v>195</v>
      </c>
      <c r="H1053" s="6">
        <v>2</v>
      </c>
      <c r="I1053" s="9">
        <v>97.5</v>
      </c>
    </row>
    <row r="1054" spans="1:9" ht="14.25">
      <c r="A1054" s="6">
        <v>1050</v>
      </c>
      <c r="B1054" s="7" t="s">
        <v>351</v>
      </c>
      <c r="C1054" s="6" t="s">
        <v>520</v>
      </c>
      <c r="D1054" s="7" t="s">
        <v>1445</v>
      </c>
      <c r="E1054" s="7" t="s">
        <v>522</v>
      </c>
      <c r="F1054" s="12">
        <v>45282</v>
      </c>
      <c r="G1054" s="9">
        <v>35.5</v>
      </c>
      <c r="H1054" s="6">
        <v>1</v>
      </c>
      <c r="I1054" s="9">
        <v>35.5</v>
      </c>
    </row>
    <row r="1055" spans="1:9" ht="14.25">
      <c r="A1055" s="6">
        <v>1051</v>
      </c>
      <c r="B1055" s="7" t="s">
        <v>351</v>
      </c>
      <c r="C1055" s="6" t="s">
        <v>520</v>
      </c>
      <c r="D1055" s="7" t="s">
        <v>1446</v>
      </c>
      <c r="E1055" s="7" t="s">
        <v>522</v>
      </c>
      <c r="F1055" s="12">
        <v>45474</v>
      </c>
      <c r="G1055" s="9">
        <v>31.5</v>
      </c>
      <c r="H1055" s="6">
        <v>1</v>
      </c>
      <c r="I1055" s="9">
        <v>31.5</v>
      </c>
    </row>
    <row r="1056" spans="1:9" ht="14.25">
      <c r="A1056" s="6">
        <v>1052</v>
      </c>
      <c r="B1056" s="7" t="s">
        <v>351</v>
      </c>
      <c r="C1056" s="6" t="s">
        <v>1198</v>
      </c>
      <c r="D1056" s="7" t="s">
        <v>1438</v>
      </c>
      <c r="E1056" s="7" t="s">
        <v>522</v>
      </c>
      <c r="F1056" s="12">
        <v>45617</v>
      </c>
      <c r="G1056" s="9">
        <v>1115.0999999999999</v>
      </c>
      <c r="H1056" s="6">
        <v>3</v>
      </c>
      <c r="I1056" s="9">
        <v>371.7</v>
      </c>
    </row>
    <row r="1057" spans="1:9" ht="14.25">
      <c r="A1057" s="6">
        <v>1053</v>
      </c>
      <c r="B1057" s="7" t="s">
        <v>397</v>
      </c>
      <c r="C1057" s="6" t="s">
        <v>520</v>
      </c>
      <c r="D1057" s="7" t="s">
        <v>1447</v>
      </c>
      <c r="E1057" s="7" t="s">
        <v>522</v>
      </c>
      <c r="F1057" s="12">
        <v>43838</v>
      </c>
      <c r="G1057" s="9">
        <v>41.7</v>
      </c>
      <c r="H1057" s="6">
        <v>1</v>
      </c>
      <c r="I1057" s="9">
        <v>41.7</v>
      </c>
    </row>
    <row r="1058" spans="1:9" ht="14.25">
      <c r="A1058" s="6">
        <v>1054</v>
      </c>
      <c r="B1058" s="7" t="s">
        <v>397</v>
      </c>
      <c r="C1058" s="6" t="s">
        <v>520</v>
      </c>
      <c r="D1058" s="7" t="s">
        <v>1448</v>
      </c>
      <c r="E1058" s="7" t="s">
        <v>522</v>
      </c>
      <c r="F1058" s="12">
        <v>44194</v>
      </c>
      <c r="G1058" s="9">
        <v>220</v>
      </c>
      <c r="H1058" s="6">
        <v>1</v>
      </c>
      <c r="I1058" s="9">
        <v>220</v>
      </c>
    </row>
    <row r="1059" spans="1:9" ht="14.25">
      <c r="A1059" s="6">
        <v>1055</v>
      </c>
      <c r="B1059" s="7" t="s">
        <v>397</v>
      </c>
      <c r="C1059" s="6" t="s">
        <v>520</v>
      </c>
      <c r="D1059" s="7" t="s">
        <v>1449</v>
      </c>
      <c r="E1059" s="7" t="s">
        <v>522</v>
      </c>
      <c r="F1059" s="12">
        <v>44481</v>
      </c>
      <c r="G1059" s="9">
        <v>20</v>
      </c>
      <c r="H1059" s="6">
        <v>1</v>
      </c>
      <c r="I1059" s="9">
        <v>20</v>
      </c>
    </row>
    <row r="1060" spans="1:9" ht="14.25">
      <c r="A1060" s="6">
        <v>1056</v>
      </c>
      <c r="B1060" s="7" t="s">
        <v>397</v>
      </c>
      <c r="C1060" s="6" t="s">
        <v>520</v>
      </c>
      <c r="D1060" s="7" t="s">
        <v>1450</v>
      </c>
      <c r="E1060" s="7" t="s">
        <v>522</v>
      </c>
      <c r="F1060" s="12">
        <v>44483</v>
      </c>
      <c r="G1060" s="9">
        <v>101</v>
      </c>
      <c r="H1060" s="6">
        <v>1</v>
      </c>
      <c r="I1060" s="9">
        <v>101</v>
      </c>
    </row>
    <row r="1061" spans="1:9" ht="14.25">
      <c r="A1061" s="6">
        <v>1057</v>
      </c>
      <c r="B1061" s="7" t="s">
        <v>397</v>
      </c>
      <c r="C1061" s="6" t="s">
        <v>520</v>
      </c>
      <c r="D1061" s="7" t="s">
        <v>1451</v>
      </c>
      <c r="E1061" s="7" t="s">
        <v>528</v>
      </c>
      <c r="F1061" s="12">
        <v>44365</v>
      </c>
      <c r="G1061" s="9">
        <v>143</v>
      </c>
      <c r="H1061" s="6">
        <v>1</v>
      </c>
      <c r="I1061" s="9">
        <v>143</v>
      </c>
    </row>
    <row r="1062" spans="1:9" ht="14.25">
      <c r="A1062" s="6">
        <v>1058</v>
      </c>
      <c r="B1062" s="7" t="s">
        <v>396</v>
      </c>
      <c r="C1062" s="6" t="s">
        <v>520</v>
      </c>
      <c r="D1062" s="7" t="s">
        <v>1452</v>
      </c>
      <c r="E1062" s="7" t="s">
        <v>522</v>
      </c>
      <c r="F1062" s="12">
        <v>45538</v>
      </c>
      <c r="G1062" s="9">
        <v>223</v>
      </c>
      <c r="H1062" s="6">
        <v>1</v>
      </c>
      <c r="I1062" s="9">
        <v>223</v>
      </c>
    </row>
    <row r="1063" spans="1:9" ht="14.25">
      <c r="A1063" s="6">
        <v>1059</v>
      </c>
      <c r="B1063" s="7" t="s">
        <v>474</v>
      </c>
      <c r="C1063" s="6" t="s">
        <v>536</v>
      </c>
      <c r="D1063" s="7" t="s">
        <v>840</v>
      </c>
      <c r="E1063" s="7" t="s">
        <v>522</v>
      </c>
      <c r="F1063" s="12">
        <v>43719</v>
      </c>
      <c r="G1063" s="9">
        <v>25.5</v>
      </c>
      <c r="H1063" s="6">
        <v>2</v>
      </c>
      <c r="I1063" s="9">
        <v>12.7</v>
      </c>
    </row>
    <row r="1064" spans="1:9" ht="14.25">
      <c r="A1064" s="6">
        <v>1060</v>
      </c>
      <c r="B1064" s="7" t="s">
        <v>474</v>
      </c>
      <c r="C1064" s="6" t="s">
        <v>536</v>
      </c>
      <c r="D1064" s="7" t="s">
        <v>842</v>
      </c>
      <c r="E1064" s="7" t="s">
        <v>522</v>
      </c>
      <c r="F1064" s="12">
        <v>44440</v>
      </c>
      <c r="G1064" s="9">
        <v>156.6</v>
      </c>
      <c r="H1064" s="6">
        <v>2</v>
      </c>
      <c r="I1064" s="9">
        <v>78.3</v>
      </c>
    </row>
    <row r="1065" spans="1:9" ht="14.25">
      <c r="A1065" s="6">
        <v>1061</v>
      </c>
      <c r="B1065" s="7" t="s">
        <v>360</v>
      </c>
      <c r="C1065" s="6" t="s">
        <v>536</v>
      </c>
      <c r="D1065" s="7" t="s">
        <v>1304</v>
      </c>
      <c r="E1065" s="7" t="s">
        <v>522</v>
      </c>
      <c r="F1065" s="12">
        <v>44671</v>
      </c>
      <c r="G1065" s="9">
        <v>202</v>
      </c>
      <c r="H1065" s="6">
        <v>2</v>
      </c>
      <c r="I1065" s="9">
        <v>101</v>
      </c>
    </row>
    <row r="1066" spans="1:9" ht="14.25">
      <c r="A1066" s="6">
        <v>1062</v>
      </c>
      <c r="B1066" s="7" t="s">
        <v>360</v>
      </c>
      <c r="C1066" s="6" t="s">
        <v>520</v>
      </c>
      <c r="D1066" s="7" t="s">
        <v>1453</v>
      </c>
      <c r="E1066" s="7" t="s">
        <v>522</v>
      </c>
      <c r="F1066" s="12">
        <v>45177</v>
      </c>
      <c r="G1066" s="9">
        <v>340</v>
      </c>
      <c r="H1066" s="6">
        <v>1</v>
      </c>
      <c r="I1066" s="9">
        <v>340</v>
      </c>
    </row>
    <row r="1067" spans="1:9" ht="14.25">
      <c r="A1067" s="6">
        <v>1063</v>
      </c>
      <c r="B1067" s="7" t="s">
        <v>251</v>
      </c>
      <c r="C1067" s="6" t="s">
        <v>520</v>
      </c>
      <c r="D1067" s="7" t="s">
        <v>1361</v>
      </c>
      <c r="E1067" s="7" t="s">
        <v>522</v>
      </c>
      <c r="F1067" s="12">
        <v>44476</v>
      </c>
      <c r="G1067" s="9">
        <v>1730</v>
      </c>
      <c r="H1067" s="6">
        <v>2</v>
      </c>
      <c r="I1067" s="9">
        <v>865</v>
      </c>
    </row>
    <row r="1068" spans="1:9" ht="14.25">
      <c r="A1068" s="6">
        <v>1064</v>
      </c>
      <c r="B1068" s="7" t="s">
        <v>147</v>
      </c>
      <c r="C1068" s="6" t="s">
        <v>520</v>
      </c>
      <c r="D1068" s="7" t="s">
        <v>1454</v>
      </c>
      <c r="E1068" s="7" t="s">
        <v>522</v>
      </c>
      <c r="F1068" s="12">
        <v>44013</v>
      </c>
      <c r="G1068" s="9">
        <v>1125</v>
      </c>
      <c r="H1068" s="6">
        <v>1</v>
      </c>
      <c r="I1068" s="9">
        <v>1125</v>
      </c>
    </row>
    <row r="1069" spans="1:9" ht="14.25">
      <c r="A1069" s="6">
        <v>1065</v>
      </c>
      <c r="B1069" s="7" t="s">
        <v>147</v>
      </c>
      <c r="C1069" s="6" t="s">
        <v>520</v>
      </c>
      <c r="D1069" s="7" t="s">
        <v>1455</v>
      </c>
      <c r="E1069" s="7" t="s">
        <v>522</v>
      </c>
      <c r="F1069" s="12">
        <v>44554</v>
      </c>
      <c r="G1069" s="9">
        <v>1945</v>
      </c>
      <c r="H1069" s="6">
        <v>1</v>
      </c>
      <c r="I1069" s="9">
        <v>1945</v>
      </c>
    </row>
    <row r="1070" spans="1:9" ht="14.25">
      <c r="A1070" s="6">
        <v>1066</v>
      </c>
      <c r="B1070" s="7" t="s">
        <v>147</v>
      </c>
      <c r="C1070" s="6" t="s">
        <v>520</v>
      </c>
      <c r="D1070" s="7" t="s">
        <v>1456</v>
      </c>
      <c r="E1070" s="7" t="s">
        <v>522</v>
      </c>
      <c r="F1070" s="12">
        <v>44361</v>
      </c>
      <c r="G1070" s="9">
        <v>592</v>
      </c>
      <c r="H1070" s="6">
        <v>1</v>
      </c>
      <c r="I1070" s="9">
        <v>592</v>
      </c>
    </row>
    <row r="1071" spans="1:9" ht="14.25">
      <c r="A1071" s="6">
        <v>1067</v>
      </c>
      <c r="B1071" s="7" t="s">
        <v>147</v>
      </c>
      <c r="C1071" s="6" t="s">
        <v>520</v>
      </c>
      <c r="D1071" s="7" t="s">
        <v>1457</v>
      </c>
      <c r="E1071" s="7" t="s">
        <v>522</v>
      </c>
      <c r="F1071" s="12">
        <v>45657</v>
      </c>
      <c r="G1071" s="9">
        <v>1105</v>
      </c>
      <c r="H1071" s="6">
        <v>1</v>
      </c>
      <c r="I1071" s="9">
        <v>1105</v>
      </c>
    </row>
    <row r="1072" spans="1:9" ht="14.25">
      <c r="A1072" s="6">
        <v>1068</v>
      </c>
      <c r="B1072" s="7" t="s">
        <v>302</v>
      </c>
      <c r="C1072" s="6" t="s">
        <v>520</v>
      </c>
      <c r="D1072" s="7" t="s">
        <v>1458</v>
      </c>
      <c r="E1072" s="7" t="s">
        <v>522</v>
      </c>
      <c r="F1072" s="12">
        <v>44109</v>
      </c>
      <c r="G1072" s="9">
        <v>121</v>
      </c>
      <c r="H1072" s="6">
        <v>1</v>
      </c>
      <c r="I1072" s="9">
        <v>121</v>
      </c>
    </row>
    <row r="1073" spans="1:9" ht="14.25">
      <c r="A1073" s="6">
        <v>1069</v>
      </c>
      <c r="B1073" s="7" t="s">
        <v>302</v>
      </c>
      <c r="C1073" s="6" t="s">
        <v>520</v>
      </c>
      <c r="D1073" s="7" t="s">
        <v>1459</v>
      </c>
      <c r="E1073" s="7" t="s">
        <v>522</v>
      </c>
      <c r="F1073" s="12">
        <v>45008</v>
      </c>
      <c r="G1073" s="9">
        <v>608.79999999999995</v>
      </c>
      <c r="H1073" s="6">
        <v>1</v>
      </c>
      <c r="I1073" s="9">
        <v>608.79999999999995</v>
      </c>
    </row>
    <row r="1074" spans="1:9" ht="14.25">
      <c r="A1074" s="6">
        <v>1070</v>
      </c>
      <c r="B1074" s="7" t="s">
        <v>432</v>
      </c>
      <c r="C1074" s="6" t="s">
        <v>520</v>
      </c>
      <c r="D1074" s="7" t="s">
        <v>1460</v>
      </c>
      <c r="E1074" s="7" t="s">
        <v>522</v>
      </c>
      <c r="F1074" s="12">
        <v>44245</v>
      </c>
      <c r="G1074" s="9">
        <v>141.5</v>
      </c>
      <c r="H1074" s="6">
        <v>1</v>
      </c>
      <c r="I1074" s="9">
        <v>141.5</v>
      </c>
    </row>
    <row r="1075" spans="1:9" ht="14.25">
      <c r="A1075" s="6">
        <v>1071</v>
      </c>
      <c r="B1075" s="7" t="s">
        <v>34</v>
      </c>
      <c r="C1075" s="6" t="s">
        <v>520</v>
      </c>
      <c r="D1075" s="7" t="s">
        <v>1461</v>
      </c>
      <c r="E1075" s="7" t="s">
        <v>544</v>
      </c>
      <c r="F1075" s="12">
        <v>43777</v>
      </c>
      <c r="G1075" s="9">
        <v>1615</v>
      </c>
      <c r="H1075" s="6">
        <v>1</v>
      </c>
      <c r="I1075" s="9">
        <v>1615</v>
      </c>
    </row>
    <row r="1076" spans="1:9" ht="14.25">
      <c r="A1076" s="6">
        <v>1072</v>
      </c>
      <c r="B1076" s="7" t="s">
        <v>34</v>
      </c>
      <c r="C1076" s="6" t="s">
        <v>520</v>
      </c>
      <c r="D1076" s="7" t="s">
        <v>1462</v>
      </c>
      <c r="E1076" s="7" t="s">
        <v>522</v>
      </c>
      <c r="F1076" s="12">
        <v>43746</v>
      </c>
      <c r="G1076" s="9">
        <v>600</v>
      </c>
      <c r="H1076" s="6">
        <v>1</v>
      </c>
      <c r="I1076" s="9">
        <v>600</v>
      </c>
    </row>
    <row r="1077" spans="1:9" ht="14.25">
      <c r="A1077" s="6">
        <v>1073</v>
      </c>
      <c r="B1077" s="7" t="s">
        <v>34</v>
      </c>
      <c r="C1077" s="6" t="s">
        <v>520</v>
      </c>
      <c r="D1077" s="7" t="s">
        <v>1463</v>
      </c>
      <c r="E1077" s="7" t="s">
        <v>522</v>
      </c>
      <c r="F1077" s="12">
        <v>44482</v>
      </c>
      <c r="G1077" s="9">
        <v>1905</v>
      </c>
      <c r="H1077" s="6">
        <v>1</v>
      </c>
      <c r="I1077" s="9">
        <v>1905</v>
      </c>
    </row>
    <row r="1078" spans="1:9" ht="14.25">
      <c r="A1078" s="6">
        <v>1074</v>
      </c>
      <c r="B1078" s="7" t="s">
        <v>34</v>
      </c>
      <c r="C1078" s="6" t="s">
        <v>520</v>
      </c>
      <c r="D1078" s="7" t="s">
        <v>1464</v>
      </c>
      <c r="E1078" s="7" t="s">
        <v>522</v>
      </c>
      <c r="F1078" s="12">
        <v>45421</v>
      </c>
      <c r="G1078" s="9">
        <v>8726</v>
      </c>
      <c r="H1078" s="6">
        <v>1</v>
      </c>
      <c r="I1078" s="9">
        <v>8726</v>
      </c>
    </row>
    <row r="1079" spans="1:9" ht="14.25">
      <c r="A1079" s="6">
        <v>1075</v>
      </c>
      <c r="B1079" s="7" t="s">
        <v>348</v>
      </c>
      <c r="C1079" s="6" t="s">
        <v>520</v>
      </c>
      <c r="D1079" s="7" t="s">
        <v>1465</v>
      </c>
      <c r="E1079" s="7" t="s">
        <v>522</v>
      </c>
      <c r="F1079" s="12">
        <v>43167</v>
      </c>
      <c r="G1079" s="9">
        <v>430</v>
      </c>
      <c r="H1079" s="6">
        <v>1</v>
      </c>
      <c r="I1079" s="9">
        <v>430</v>
      </c>
    </row>
    <row r="1080" spans="1:9" ht="14.25">
      <c r="A1080" s="6">
        <v>1076</v>
      </c>
      <c r="B1080" s="7" t="s">
        <v>348</v>
      </c>
      <c r="C1080" s="6" t="s">
        <v>520</v>
      </c>
      <c r="D1080" s="7" t="s">
        <v>1466</v>
      </c>
      <c r="E1080" s="7" t="s">
        <v>528</v>
      </c>
      <c r="F1080" s="12">
        <v>44182</v>
      </c>
      <c r="G1080" s="9">
        <v>50.5</v>
      </c>
      <c r="H1080" s="6">
        <v>1</v>
      </c>
      <c r="I1080" s="9">
        <v>50.5</v>
      </c>
    </row>
    <row r="1081" spans="1:9" ht="14.25">
      <c r="A1081" s="6">
        <v>1077</v>
      </c>
      <c r="B1081" s="7" t="s">
        <v>348</v>
      </c>
      <c r="C1081" s="6" t="s">
        <v>536</v>
      </c>
      <c r="D1081" s="7" t="s">
        <v>1314</v>
      </c>
      <c r="E1081" s="7" t="s">
        <v>522</v>
      </c>
      <c r="F1081" s="12">
        <v>45621</v>
      </c>
      <c r="G1081" s="9">
        <v>173</v>
      </c>
      <c r="H1081" s="6">
        <v>2</v>
      </c>
      <c r="I1081" s="9">
        <v>86.5</v>
      </c>
    </row>
    <row r="1082" spans="1:9" ht="14.25">
      <c r="A1082" s="6">
        <v>1078</v>
      </c>
      <c r="B1082" s="7" t="s">
        <v>297</v>
      </c>
      <c r="C1082" s="6" t="s">
        <v>520</v>
      </c>
      <c r="D1082" s="7" t="s">
        <v>1467</v>
      </c>
      <c r="E1082" s="7" t="s">
        <v>522</v>
      </c>
      <c r="F1082" s="12">
        <v>44483</v>
      </c>
      <c r="G1082" s="9">
        <v>111</v>
      </c>
      <c r="H1082" s="6">
        <v>1</v>
      </c>
      <c r="I1082" s="9">
        <v>111</v>
      </c>
    </row>
    <row r="1083" spans="1:9" ht="14.25">
      <c r="A1083" s="6">
        <v>1079</v>
      </c>
      <c r="B1083" s="7" t="s">
        <v>297</v>
      </c>
      <c r="C1083" s="6" t="s">
        <v>520</v>
      </c>
      <c r="D1083" s="7" t="s">
        <v>1468</v>
      </c>
      <c r="E1083" s="7" t="s">
        <v>522</v>
      </c>
      <c r="F1083" s="12">
        <v>44608</v>
      </c>
      <c r="G1083" s="9">
        <v>635</v>
      </c>
      <c r="H1083" s="6">
        <v>1</v>
      </c>
      <c r="I1083" s="9">
        <v>635</v>
      </c>
    </row>
    <row r="1084" spans="1:9" ht="14.25">
      <c r="A1084" s="6">
        <v>1080</v>
      </c>
      <c r="B1084" s="7" t="s">
        <v>209</v>
      </c>
      <c r="C1084" s="6" t="s">
        <v>520</v>
      </c>
      <c r="D1084" s="7" t="s">
        <v>1469</v>
      </c>
      <c r="E1084" s="7" t="s">
        <v>522</v>
      </c>
      <c r="F1084" s="12">
        <v>43724</v>
      </c>
      <c r="G1084" s="9">
        <v>951</v>
      </c>
      <c r="H1084" s="6">
        <v>1</v>
      </c>
      <c r="I1084" s="9">
        <v>951</v>
      </c>
    </row>
    <row r="1085" spans="1:9" ht="14.25">
      <c r="A1085" s="6">
        <v>1081</v>
      </c>
      <c r="B1085" s="7" t="s">
        <v>209</v>
      </c>
      <c r="C1085" s="6" t="s">
        <v>520</v>
      </c>
      <c r="D1085" s="7" t="s">
        <v>1470</v>
      </c>
      <c r="E1085" s="7" t="s">
        <v>522</v>
      </c>
      <c r="F1085" s="12">
        <v>44074</v>
      </c>
      <c r="G1085" s="9">
        <v>916</v>
      </c>
      <c r="H1085" s="6">
        <v>1</v>
      </c>
      <c r="I1085" s="9">
        <v>916</v>
      </c>
    </row>
    <row r="1086" spans="1:9" ht="14.25">
      <c r="A1086" s="6">
        <v>1082</v>
      </c>
      <c r="B1086" s="7" t="s">
        <v>209</v>
      </c>
      <c r="C1086" s="6" t="s">
        <v>520</v>
      </c>
      <c r="D1086" s="7" t="s">
        <v>1471</v>
      </c>
      <c r="E1086" s="7" t="s">
        <v>522</v>
      </c>
      <c r="F1086" s="12">
        <v>44389</v>
      </c>
      <c r="G1086" s="9">
        <v>890</v>
      </c>
      <c r="H1086" s="6">
        <v>1</v>
      </c>
      <c r="I1086" s="9">
        <v>890</v>
      </c>
    </row>
    <row r="1087" spans="1:9" ht="14.25">
      <c r="A1087" s="6">
        <v>1083</v>
      </c>
      <c r="B1087" s="7" t="s">
        <v>209</v>
      </c>
      <c r="C1087" s="6" t="s">
        <v>520</v>
      </c>
      <c r="D1087" s="7" t="s">
        <v>1472</v>
      </c>
      <c r="E1087" s="7" t="s">
        <v>522</v>
      </c>
      <c r="F1087" s="12">
        <v>44741</v>
      </c>
      <c r="G1087" s="9">
        <v>1104</v>
      </c>
      <c r="H1087" s="6">
        <v>1</v>
      </c>
      <c r="I1087" s="9">
        <v>1104</v>
      </c>
    </row>
    <row r="1088" spans="1:9" ht="14.25">
      <c r="A1088" s="6">
        <v>1084</v>
      </c>
      <c r="B1088" s="7" t="s">
        <v>209</v>
      </c>
      <c r="C1088" s="6" t="s">
        <v>520</v>
      </c>
      <c r="D1088" s="7" t="s">
        <v>1473</v>
      </c>
      <c r="E1088" s="7" t="s">
        <v>522</v>
      </c>
      <c r="F1088" s="12">
        <v>44601</v>
      </c>
      <c r="G1088" s="9">
        <v>153</v>
      </c>
      <c r="H1088" s="6">
        <v>1</v>
      </c>
      <c r="I1088" s="9">
        <v>153</v>
      </c>
    </row>
    <row r="1089" spans="1:9" ht="14.25">
      <c r="A1089" s="6">
        <v>1085</v>
      </c>
      <c r="B1089" s="7" t="s">
        <v>209</v>
      </c>
      <c r="C1089" s="6" t="s">
        <v>520</v>
      </c>
      <c r="D1089" s="7" t="s">
        <v>744</v>
      </c>
      <c r="E1089" s="7" t="s">
        <v>522</v>
      </c>
      <c r="F1089" s="12">
        <v>44819</v>
      </c>
      <c r="G1089" s="9">
        <v>202</v>
      </c>
      <c r="H1089" s="6">
        <v>2</v>
      </c>
      <c r="I1089" s="9">
        <v>101</v>
      </c>
    </row>
    <row r="1090" spans="1:9" ht="14.25">
      <c r="A1090" s="6">
        <v>1086</v>
      </c>
      <c r="B1090" s="7" t="s">
        <v>209</v>
      </c>
      <c r="C1090" s="6" t="s">
        <v>520</v>
      </c>
      <c r="D1090" s="7" t="s">
        <v>1474</v>
      </c>
      <c r="E1090" s="7" t="s">
        <v>522</v>
      </c>
      <c r="F1090" s="12">
        <v>44974</v>
      </c>
      <c r="G1090" s="9">
        <v>501</v>
      </c>
      <c r="H1090" s="6">
        <v>1</v>
      </c>
      <c r="I1090" s="9">
        <v>501</v>
      </c>
    </row>
    <row r="1091" spans="1:9" ht="14.25">
      <c r="A1091" s="6">
        <v>1087</v>
      </c>
      <c r="B1091" s="7" t="s">
        <v>427</v>
      </c>
      <c r="C1091" s="6" t="s">
        <v>520</v>
      </c>
      <c r="D1091" s="7" t="s">
        <v>1475</v>
      </c>
      <c r="E1091" s="7" t="s">
        <v>522</v>
      </c>
      <c r="F1091" s="12">
        <v>44231</v>
      </c>
      <c r="G1091" s="9">
        <v>123</v>
      </c>
      <c r="H1091" s="6">
        <v>1</v>
      </c>
      <c r="I1091" s="9">
        <v>123</v>
      </c>
    </row>
    <row r="1092" spans="1:9" ht="14.25">
      <c r="A1092" s="6">
        <v>1088</v>
      </c>
      <c r="B1092" s="7" t="s">
        <v>427</v>
      </c>
      <c r="C1092" s="6" t="s">
        <v>520</v>
      </c>
      <c r="D1092" s="7" t="s">
        <v>1476</v>
      </c>
      <c r="E1092" s="7" t="s">
        <v>544</v>
      </c>
      <c r="F1092" s="12">
        <v>44932</v>
      </c>
      <c r="G1092" s="9">
        <v>150</v>
      </c>
      <c r="H1092" s="6">
        <v>1</v>
      </c>
      <c r="I1092" s="9">
        <v>150</v>
      </c>
    </row>
    <row r="1093" spans="1:9" ht="14.25">
      <c r="A1093" s="6">
        <v>1089</v>
      </c>
      <c r="B1093" s="7" t="s">
        <v>427</v>
      </c>
      <c r="C1093" s="6" t="s">
        <v>520</v>
      </c>
      <c r="D1093" s="7" t="s">
        <v>1477</v>
      </c>
      <c r="E1093" s="7" t="s">
        <v>528</v>
      </c>
      <c r="F1093" s="12">
        <v>45414</v>
      </c>
      <c r="G1093" s="9">
        <v>102</v>
      </c>
      <c r="H1093" s="6">
        <v>2</v>
      </c>
      <c r="I1093" s="9">
        <v>51</v>
      </c>
    </row>
    <row r="1094" spans="1:9" ht="14.25">
      <c r="A1094" s="6">
        <v>1090</v>
      </c>
      <c r="B1094" s="7" t="s">
        <v>506</v>
      </c>
      <c r="C1094" s="6" t="s">
        <v>520</v>
      </c>
      <c r="D1094" s="7" t="s">
        <v>1478</v>
      </c>
      <c r="E1094" s="7" t="s">
        <v>522</v>
      </c>
      <c r="F1094" s="12">
        <v>44300</v>
      </c>
      <c r="G1094" s="9">
        <v>12.5</v>
      </c>
      <c r="H1094" s="6">
        <v>1</v>
      </c>
      <c r="I1094" s="9">
        <v>12.5</v>
      </c>
    </row>
    <row r="1095" spans="1:9" ht="14.25">
      <c r="A1095" s="6">
        <v>1091</v>
      </c>
      <c r="B1095" s="7" t="s">
        <v>506</v>
      </c>
      <c r="C1095" s="6" t="s">
        <v>520</v>
      </c>
      <c r="D1095" s="7" t="s">
        <v>1479</v>
      </c>
      <c r="E1095" s="7" t="s">
        <v>522</v>
      </c>
      <c r="F1095" s="12">
        <v>44434</v>
      </c>
      <c r="G1095" s="9">
        <v>21.5</v>
      </c>
      <c r="H1095" s="6">
        <v>1</v>
      </c>
      <c r="I1095" s="9">
        <v>21.5</v>
      </c>
    </row>
    <row r="1096" spans="1:9" ht="14.25">
      <c r="A1096" s="6">
        <v>1092</v>
      </c>
      <c r="B1096" s="7" t="s">
        <v>309</v>
      </c>
      <c r="C1096" s="6" t="s">
        <v>536</v>
      </c>
      <c r="D1096" s="7" t="s">
        <v>1480</v>
      </c>
      <c r="E1096" s="7" t="s">
        <v>522</v>
      </c>
      <c r="F1096" s="12">
        <v>44729</v>
      </c>
      <c r="G1096" s="9">
        <v>1155</v>
      </c>
      <c r="H1096" s="6">
        <v>2</v>
      </c>
      <c r="I1096" s="9">
        <v>577.5</v>
      </c>
    </row>
    <row r="1097" spans="1:9" ht="14.25">
      <c r="A1097" s="6">
        <v>1093</v>
      </c>
      <c r="B1097" s="7" t="s">
        <v>309</v>
      </c>
      <c r="C1097" s="6" t="s">
        <v>520</v>
      </c>
      <c r="D1097" s="7" t="s">
        <v>1481</v>
      </c>
      <c r="E1097" s="7" t="s">
        <v>522</v>
      </c>
      <c r="F1097" s="12">
        <v>45511</v>
      </c>
      <c r="G1097" s="9">
        <v>104</v>
      </c>
      <c r="H1097" s="6">
        <v>1</v>
      </c>
      <c r="I1097" s="9">
        <v>104</v>
      </c>
    </row>
    <row r="1098" spans="1:9" ht="14.25">
      <c r="A1098" s="6">
        <v>1094</v>
      </c>
      <c r="B1098" s="7" t="s">
        <v>306</v>
      </c>
      <c r="C1098" s="6" t="s">
        <v>520</v>
      </c>
      <c r="D1098" s="7" t="s">
        <v>1482</v>
      </c>
      <c r="E1098" s="7" t="s">
        <v>528</v>
      </c>
      <c r="F1098" s="12">
        <v>42681</v>
      </c>
      <c r="G1098" s="9">
        <v>255</v>
      </c>
      <c r="H1098" s="6">
        <v>1</v>
      </c>
      <c r="I1098" s="9">
        <v>255</v>
      </c>
    </row>
    <row r="1099" spans="1:9" ht="14.25">
      <c r="A1099" s="6">
        <v>1095</v>
      </c>
      <c r="B1099" s="7" t="s">
        <v>306</v>
      </c>
      <c r="C1099" s="6" t="s">
        <v>520</v>
      </c>
      <c r="D1099" s="7" t="s">
        <v>1483</v>
      </c>
      <c r="E1099" s="7" t="s">
        <v>528</v>
      </c>
      <c r="F1099" s="12">
        <v>43416</v>
      </c>
      <c r="G1099" s="9">
        <v>35</v>
      </c>
      <c r="H1099" s="6">
        <v>1</v>
      </c>
      <c r="I1099" s="9">
        <v>35</v>
      </c>
    </row>
    <row r="1100" spans="1:9" ht="14.25">
      <c r="A1100" s="6">
        <v>1096</v>
      </c>
      <c r="B1100" s="7" t="s">
        <v>306</v>
      </c>
      <c r="C1100" s="6" t="s">
        <v>520</v>
      </c>
      <c r="D1100" s="7" t="s">
        <v>1484</v>
      </c>
      <c r="E1100" s="7" t="s">
        <v>528</v>
      </c>
      <c r="F1100" s="12">
        <v>43439</v>
      </c>
      <c r="G1100" s="9">
        <v>432</v>
      </c>
      <c r="H1100" s="6">
        <v>1</v>
      </c>
      <c r="I1100" s="9">
        <v>432</v>
      </c>
    </row>
    <row r="1101" spans="1:9" ht="14.25">
      <c r="A1101" s="6">
        <v>1097</v>
      </c>
      <c r="B1101" s="7" t="s">
        <v>306</v>
      </c>
      <c r="C1101" s="6" t="s">
        <v>520</v>
      </c>
      <c r="D1101" s="7" t="s">
        <v>1485</v>
      </c>
      <c r="E1101" s="7" t="s">
        <v>528</v>
      </c>
      <c r="F1101" s="12">
        <v>43847</v>
      </c>
      <c r="G1101" s="9">
        <v>80</v>
      </c>
      <c r="H1101" s="6">
        <v>1</v>
      </c>
      <c r="I1101" s="9">
        <v>80</v>
      </c>
    </row>
    <row r="1102" spans="1:9" ht="14.25">
      <c r="A1102" s="6">
        <v>1098</v>
      </c>
      <c r="B1102" s="7" t="s">
        <v>306</v>
      </c>
      <c r="C1102" s="6" t="s">
        <v>520</v>
      </c>
      <c r="D1102" s="7" t="s">
        <v>1486</v>
      </c>
      <c r="E1102" s="7" t="s">
        <v>522</v>
      </c>
      <c r="F1102" s="12">
        <v>43880</v>
      </c>
      <c r="G1102" s="9">
        <v>32</v>
      </c>
      <c r="H1102" s="6">
        <v>1</v>
      </c>
      <c r="I1102" s="9">
        <v>32</v>
      </c>
    </row>
    <row r="1103" spans="1:9" ht="14.25">
      <c r="A1103" s="6">
        <v>1099</v>
      </c>
      <c r="B1103" s="7" t="s">
        <v>306</v>
      </c>
      <c r="C1103" s="6" t="s">
        <v>520</v>
      </c>
      <c r="D1103" s="7" t="s">
        <v>1487</v>
      </c>
      <c r="E1103" s="7" t="s">
        <v>528</v>
      </c>
      <c r="F1103" s="12">
        <v>44365</v>
      </c>
      <c r="G1103" s="9">
        <v>159</v>
      </c>
      <c r="H1103" s="6">
        <v>1</v>
      </c>
      <c r="I1103" s="9">
        <v>159</v>
      </c>
    </row>
    <row r="1104" spans="1:9" ht="14.25">
      <c r="A1104" s="6">
        <v>1100</v>
      </c>
      <c r="B1104" s="7" t="s">
        <v>306</v>
      </c>
      <c r="C1104" s="6" t="s">
        <v>520</v>
      </c>
      <c r="D1104" s="7" t="s">
        <v>1488</v>
      </c>
      <c r="E1104" s="7" t="s">
        <v>522</v>
      </c>
      <c r="F1104" s="12">
        <v>44420</v>
      </c>
      <c r="G1104" s="9">
        <v>127</v>
      </c>
      <c r="H1104" s="6">
        <v>1</v>
      </c>
      <c r="I1104" s="9">
        <v>127</v>
      </c>
    </row>
    <row r="1105" spans="1:9" ht="14.25">
      <c r="A1105" s="6">
        <v>1101</v>
      </c>
      <c r="B1105" s="7" t="s">
        <v>306</v>
      </c>
      <c r="C1105" s="6" t="s">
        <v>520</v>
      </c>
      <c r="D1105" s="7" t="s">
        <v>1234</v>
      </c>
      <c r="E1105" s="7" t="s">
        <v>522</v>
      </c>
      <c r="F1105" s="12">
        <v>44582</v>
      </c>
      <c r="G1105" s="9">
        <v>1172.8</v>
      </c>
      <c r="H1105" s="6">
        <v>2</v>
      </c>
      <c r="I1105" s="9">
        <v>586.4</v>
      </c>
    </row>
    <row r="1106" spans="1:9" ht="14.25">
      <c r="A1106" s="6">
        <v>1102</v>
      </c>
      <c r="B1106" s="7" t="s">
        <v>306</v>
      </c>
      <c r="C1106" s="6" t="s">
        <v>520</v>
      </c>
      <c r="D1106" s="7" t="s">
        <v>1489</v>
      </c>
      <c r="E1106" s="7" t="s">
        <v>528</v>
      </c>
      <c r="F1106" s="12">
        <v>44971</v>
      </c>
      <c r="G1106" s="9">
        <v>392</v>
      </c>
      <c r="H1106" s="6">
        <v>1</v>
      </c>
      <c r="I1106" s="9">
        <v>392</v>
      </c>
    </row>
    <row r="1107" spans="1:9" ht="14.25">
      <c r="A1107" s="6">
        <v>1103</v>
      </c>
      <c r="B1107" s="7" t="s">
        <v>306</v>
      </c>
      <c r="C1107" s="6" t="s">
        <v>520</v>
      </c>
      <c r="D1107" s="7" t="s">
        <v>1490</v>
      </c>
      <c r="E1107" s="7" t="s">
        <v>528</v>
      </c>
      <c r="F1107" s="12">
        <v>45036</v>
      </c>
      <c r="G1107" s="9">
        <v>230</v>
      </c>
      <c r="H1107" s="6">
        <v>1</v>
      </c>
      <c r="I1107" s="9">
        <v>230</v>
      </c>
    </row>
    <row r="1108" spans="1:9" ht="14.25">
      <c r="A1108" s="6">
        <v>1104</v>
      </c>
      <c r="B1108" s="7" t="s">
        <v>169</v>
      </c>
      <c r="C1108" s="6" t="s">
        <v>536</v>
      </c>
      <c r="D1108" s="7" t="s">
        <v>1138</v>
      </c>
      <c r="E1108" s="7" t="s">
        <v>522</v>
      </c>
      <c r="F1108" s="12">
        <v>44351</v>
      </c>
      <c r="G1108" s="9">
        <v>1610</v>
      </c>
      <c r="H1108" s="6">
        <v>2</v>
      </c>
      <c r="I1108" s="9">
        <v>805</v>
      </c>
    </row>
    <row r="1109" spans="1:9" ht="14.25">
      <c r="A1109" s="6">
        <v>1105</v>
      </c>
      <c r="B1109" s="7" t="s">
        <v>169</v>
      </c>
      <c r="C1109" s="6" t="s">
        <v>520</v>
      </c>
      <c r="D1109" s="7" t="s">
        <v>1491</v>
      </c>
      <c r="E1109" s="7" t="s">
        <v>522</v>
      </c>
      <c r="F1109" s="12">
        <v>44784</v>
      </c>
      <c r="G1109" s="9">
        <v>1605</v>
      </c>
      <c r="H1109" s="6">
        <v>1</v>
      </c>
      <c r="I1109" s="9">
        <v>1605</v>
      </c>
    </row>
    <row r="1110" spans="1:9" ht="14.25">
      <c r="A1110" s="6">
        <v>1106</v>
      </c>
      <c r="B1110" s="7" t="s">
        <v>480</v>
      </c>
      <c r="C1110" s="6" t="s">
        <v>520</v>
      </c>
      <c r="D1110" s="7" t="s">
        <v>1492</v>
      </c>
      <c r="E1110" s="7" t="s">
        <v>522</v>
      </c>
      <c r="F1110" s="12">
        <v>43339</v>
      </c>
      <c r="G1110" s="9">
        <v>65</v>
      </c>
      <c r="H1110" s="6">
        <v>1</v>
      </c>
      <c r="I1110" s="9">
        <v>65</v>
      </c>
    </row>
    <row r="1111" spans="1:9" ht="14.25">
      <c r="A1111" s="6">
        <v>1107</v>
      </c>
      <c r="B1111" s="7" t="s">
        <v>480</v>
      </c>
      <c r="C1111" s="6" t="s">
        <v>520</v>
      </c>
      <c r="D1111" s="7" t="s">
        <v>1183</v>
      </c>
      <c r="E1111" s="7" t="s">
        <v>522</v>
      </c>
      <c r="F1111" s="12">
        <v>44846</v>
      </c>
      <c r="G1111" s="9">
        <v>63</v>
      </c>
      <c r="H1111" s="6">
        <v>2</v>
      </c>
      <c r="I1111" s="9">
        <v>31.5</v>
      </c>
    </row>
    <row r="1112" spans="1:9" ht="14.25">
      <c r="A1112" s="6">
        <v>1108</v>
      </c>
      <c r="B1112" s="7" t="s">
        <v>108</v>
      </c>
      <c r="C1112" s="6" t="s">
        <v>520</v>
      </c>
      <c r="D1112" s="7" t="s">
        <v>1493</v>
      </c>
      <c r="E1112" s="7" t="s">
        <v>522</v>
      </c>
      <c r="F1112" s="12">
        <v>42822</v>
      </c>
      <c r="G1112" s="9">
        <v>1827</v>
      </c>
      <c r="H1112" s="6">
        <v>1</v>
      </c>
      <c r="I1112" s="9">
        <v>1827</v>
      </c>
    </row>
    <row r="1113" spans="1:9" ht="14.25">
      <c r="A1113" s="6">
        <v>1109</v>
      </c>
      <c r="B1113" s="7" t="s">
        <v>108</v>
      </c>
      <c r="C1113" s="6" t="s">
        <v>520</v>
      </c>
      <c r="D1113" s="7" t="s">
        <v>1494</v>
      </c>
      <c r="E1113" s="7" t="s">
        <v>522</v>
      </c>
      <c r="F1113" s="12">
        <v>43812</v>
      </c>
      <c r="G1113" s="9">
        <v>1939</v>
      </c>
      <c r="H1113" s="6">
        <v>1</v>
      </c>
      <c r="I1113" s="9">
        <v>1939</v>
      </c>
    </row>
    <row r="1114" spans="1:9" ht="14.25">
      <c r="A1114" s="6">
        <v>1110</v>
      </c>
      <c r="B1114" s="7" t="s">
        <v>108</v>
      </c>
      <c r="C1114" s="6" t="s">
        <v>520</v>
      </c>
      <c r="D1114" s="7" t="s">
        <v>1495</v>
      </c>
      <c r="E1114" s="7" t="s">
        <v>522</v>
      </c>
      <c r="F1114" s="12">
        <v>43760</v>
      </c>
      <c r="G1114" s="9">
        <v>2966</v>
      </c>
      <c r="H1114" s="6">
        <v>1</v>
      </c>
      <c r="I1114" s="9">
        <v>2966</v>
      </c>
    </row>
    <row r="1115" spans="1:9" ht="14.25">
      <c r="A1115" s="6">
        <v>1111</v>
      </c>
      <c r="B1115" s="7" t="s">
        <v>108</v>
      </c>
      <c r="C1115" s="6" t="s">
        <v>520</v>
      </c>
      <c r="D1115" s="7" t="s">
        <v>1496</v>
      </c>
      <c r="E1115" s="7" t="s">
        <v>522</v>
      </c>
      <c r="F1115" s="12">
        <v>44267</v>
      </c>
      <c r="G1115" s="9">
        <v>508.5</v>
      </c>
      <c r="H1115" s="6">
        <v>1</v>
      </c>
      <c r="I1115" s="9">
        <v>508.5</v>
      </c>
    </row>
    <row r="1116" spans="1:9" ht="14.25">
      <c r="A1116" s="6">
        <v>1112</v>
      </c>
      <c r="B1116" s="7" t="s">
        <v>108</v>
      </c>
      <c r="C1116" s="6" t="s">
        <v>520</v>
      </c>
      <c r="D1116" s="7" t="s">
        <v>1497</v>
      </c>
      <c r="E1116" s="7" t="s">
        <v>522</v>
      </c>
      <c r="F1116" s="12">
        <v>44267</v>
      </c>
      <c r="G1116" s="9">
        <v>530.5</v>
      </c>
      <c r="H1116" s="6">
        <v>1</v>
      </c>
      <c r="I1116" s="9">
        <v>530.5</v>
      </c>
    </row>
    <row r="1117" spans="1:9" ht="14.25">
      <c r="A1117" s="6">
        <v>1113</v>
      </c>
      <c r="B1117" s="7" t="s">
        <v>108</v>
      </c>
      <c r="C1117" s="6" t="s">
        <v>520</v>
      </c>
      <c r="D1117" s="7" t="s">
        <v>1498</v>
      </c>
      <c r="E1117" s="7" t="s">
        <v>522</v>
      </c>
      <c r="F1117" s="12">
        <v>44630</v>
      </c>
      <c r="G1117" s="9">
        <v>534.1</v>
      </c>
      <c r="H1117" s="6">
        <v>1</v>
      </c>
      <c r="I1117" s="9">
        <v>534.1</v>
      </c>
    </row>
    <row r="1118" spans="1:9" ht="14.25">
      <c r="A1118" s="6">
        <v>1114</v>
      </c>
      <c r="B1118" s="7" t="s">
        <v>108</v>
      </c>
      <c r="C1118" s="6" t="s">
        <v>536</v>
      </c>
      <c r="D1118" s="7" t="s">
        <v>800</v>
      </c>
      <c r="E1118" s="7" t="s">
        <v>522</v>
      </c>
      <c r="F1118" s="12">
        <v>45119</v>
      </c>
      <c r="G1118" s="9">
        <v>475</v>
      </c>
      <c r="H1118" s="6">
        <v>2</v>
      </c>
      <c r="I1118" s="9">
        <v>237.5</v>
      </c>
    </row>
    <row r="1119" spans="1:9" ht="14.25">
      <c r="A1119" s="6">
        <v>1115</v>
      </c>
      <c r="B1119" s="7" t="s">
        <v>108</v>
      </c>
      <c r="C1119" s="6" t="s">
        <v>520</v>
      </c>
      <c r="D1119" s="7" t="s">
        <v>1499</v>
      </c>
      <c r="E1119" s="7" t="s">
        <v>522</v>
      </c>
      <c r="F1119" s="12">
        <v>45040</v>
      </c>
      <c r="G1119" s="9">
        <v>951</v>
      </c>
      <c r="H1119" s="6">
        <v>1</v>
      </c>
      <c r="I1119" s="9">
        <v>951</v>
      </c>
    </row>
    <row r="1120" spans="1:9" ht="14.25">
      <c r="A1120" s="6">
        <v>1116</v>
      </c>
      <c r="B1120" s="7" t="s">
        <v>44</v>
      </c>
      <c r="C1120" s="6" t="s">
        <v>520</v>
      </c>
      <c r="D1120" s="7" t="s">
        <v>1500</v>
      </c>
      <c r="E1120" s="7" t="s">
        <v>522</v>
      </c>
      <c r="F1120" s="12">
        <v>42306</v>
      </c>
      <c r="G1120" s="9">
        <v>2000</v>
      </c>
      <c r="H1120" s="6">
        <v>1</v>
      </c>
      <c r="I1120" s="9">
        <v>2000</v>
      </c>
    </row>
    <row r="1121" spans="1:9" ht="14.25">
      <c r="A1121" s="6">
        <v>1117</v>
      </c>
      <c r="B1121" s="7" t="s">
        <v>44</v>
      </c>
      <c r="C1121" s="6" t="s">
        <v>520</v>
      </c>
      <c r="D1121" s="7" t="s">
        <v>1501</v>
      </c>
      <c r="E1121" s="7" t="s">
        <v>522</v>
      </c>
      <c r="F1121" s="12">
        <v>43462</v>
      </c>
      <c r="G1121" s="9">
        <v>3060</v>
      </c>
      <c r="H1121" s="6">
        <v>1</v>
      </c>
      <c r="I1121" s="9">
        <v>3060</v>
      </c>
    </row>
    <row r="1122" spans="1:9" ht="14.25">
      <c r="A1122" s="6">
        <v>1118</v>
      </c>
      <c r="B1122" s="7" t="s">
        <v>44</v>
      </c>
      <c r="C1122" s="6" t="s">
        <v>520</v>
      </c>
      <c r="D1122" s="7" t="s">
        <v>1502</v>
      </c>
      <c r="E1122" s="7" t="s">
        <v>522</v>
      </c>
      <c r="F1122" s="12">
        <v>44589</v>
      </c>
      <c r="G1122" s="9">
        <v>7122</v>
      </c>
      <c r="H1122" s="6">
        <v>1</v>
      </c>
      <c r="I1122" s="9">
        <v>7122</v>
      </c>
    </row>
    <row r="1123" spans="1:9" ht="14.25">
      <c r="A1123" s="6">
        <v>1119</v>
      </c>
      <c r="B1123" s="7" t="s">
        <v>44</v>
      </c>
      <c r="C1123" s="6" t="s">
        <v>520</v>
      </c>
      <c r="D1123" s="7" t="s">
        <v>1263</v>
      </c>
      <c r="E1123" s="7" t="s">
        <v>522</v>
      </c>
      <c r="F1123" s="12">
        <v>44750</v>
      </c>
      <c r="G1123" s="9">
        <v>1222</v>
      </c>
      <c r="H1123" s="6">
        <v>2</v>
      </c>
      <c r="I1123" s="9">
        <v>611</v>
      </c>
    </row>
    <row r="1124" spans="1:9" ht="14.25">
      <c r="A1124" s="6">
        <v>1120</v>
      </c>
      <c r="B1124" s="7" t="s">
        <v>436</v>
      </c>
      <c r="C1124" s="6" t="s">
        <v>536</v>
      </c>
      <c r="D1124" s="7" t="s">
        <v>1089</v>
      </c>
      <c r="E1124" s="7" t="s">
        <v>522</v>
      </c>
      <c r="F1124" s="12">
        <v>44846</v>
      </c>
      <c r="G1124" s="9">
        <v>263</v>
      </c>
      <c r="H1124" s="6">
        <v>2</v>
      </c>
      <c r="I1124" s="9">
        <v>131.5</v>
      </c>
    </row>
    <row r="1125" spans="1:9" ht="14.25">
      <c r="A1125" s="6">
        <v>1121</v>
      </c>
      <c r="B1125" s="7" t="s">
        <v>438</v>
      </c>
      <c r="C1125" s="6" t="s">
        <v>520</v>
      </c>
      <c r="D1125" s="7" t="s">
        <v>673</v>
      </c>
      <c r="E1125" s="7" t="s">
        <v>522</v>
      </c>
      <c r="F1125" s="12">
        <v>45485</v>
      </c>
      <c r="G1125" s="9">
        <v>42</v>
      </c>
      <c r="H1125" s="6">
        <v>2</v>
      </c>
      <c r="I1125" s="9">
        <v>21</v>
      </c>
    </row>
    <row r="1126" spans="1:9" ht="14.25">
      <c r="A1126" s="6">
        <v>1122</v>
      </c>
      <c r="B1126" s="7" t="s">
        <v>438</v>
      </c>
      <c r="C1126" s="6" t="s">
        <v>536</v>
      </c>
      <c r="D1126" s="7" t="s">
        <v>984</v>
      </c>
      <c r="E1126" s="7" t="s">
        <v>522</v>
      </c>
      <c r="F1126" s="12">
        <v>45407</v>
      </c>
      <c r="G1126" s="9">
        <v>259</v>
      </c>
      <c r="H1126" s="6">
        <v>2</v>
      </c>
      <c r="I1126" s="9">
        <v>129.5</v>
      </c>
    </row>
    <row r="1127" spans="1:9" ht="14.25">
      <c r="A1127" s="6">
        <v>1123</v>
      </c>
      <c r="B1127" s="7" t="s">
        <v>438</v>
      </c>
      <c r="C1127" s="6" t="s">
        <v>536</v>
      </c>
      <c r="D1127" s="7" t="s">
        <v>1355</v>
      </c>
      <c r="E1127" s="7" t="s">
        <v>522</v>
      </c>
      <c r="F1127" s="12">
        <v>45369</v>
      </c>
      <c r="G1127" s="9">
        <v>124</v>
      </c>
      <c r="H1127" s="6">
        <v>2</v>
      </c>
      <c r="I1127" s="9">
        <v>62</v>
      </c>
    </row>
    <row r="1128" spans="1:9" ht="14.25">
      <c r="A1128" s="6">
        <v>1124</v>
      </c>
      <c r="B1128" s="7" t="s">
        <v>438</v>
      </c>
      <c r="C1128" s="6" t="s">
        <v>520</v>
      </c>
      <c r="D1128" s="7" t="s">
        <v>1503</v>
      </c>
      <c r="E1128" s="7" t="s">
        <v>522</v>
      </c>
      <c r="F1128" s="12">
        <v>45645</v>
      </c>
      <c r="G1128" s="9">
        <v>40.6</v>
      </c>
      <c r="H1128" s="6">
        <v>1</v>
      </c>
      <c r="I1128" s="9">
        <v>40.6</v>
      </c>
    </row>
    <row r="1129" spans="1:9" ht="14.25">
      <c r="A1129" s="6">
        <v>1125</v>
      </c>
      <c r="B1129" s="7" t="s">
        <v>489</v>
      </c>
      <c r="C1129" s="6" t="s">
        <v>520</v>
      </c>
      <c r="D1129" s="7" t="s">
        <v>1504</v>
      </c>
      <c r="E1129" s="7" t="s">
        <v>522</v>
      </c>
      <c r="F1129" s="12">
        <v>45650</v>
      </c>
      <c r="G1129" s="9">
        <v>54</v>
      </c>
      <c r="H1129" s="6">
        <v>1</v>
      </c>
      <c r="I1129" s="9">
        <v>54</v>
      </c>
    </row>
    <row r="1130" spans="1:9" ht="14.25">
      <c r="A1130" s="6">
        <v>1126</v>
      </c>
      <c r="B1130" s="7" t="s">
        <v>318</v>
      </c>
      <c r="C1130" s="6" t="s">
        <v>536</v>
      </c>
      <c r="D1130" s="7" t="s">
        <v>539</v>
      </c>
      <c r="E1130" s="7" t="s">
        <v>522</v>
      </c>
      <c r="F1130" s="12">
        <v>45047</v>
      </c>
      <c r="G1130" s="9">
        <v>1100</v>
      </c>
      <c r="H1130" s="6">
        <v>2</v>
      </c>
      <c r="I1130" s="9">
        <v>550</v>
      </c>
    </row>
    <row r="1131" spans="1:9" ht="14.25">
      <c r="A1131" s="6">
        <v>1127</v>
      </c>
      <c r="B1131" s="7" t="s">
        <v>466</v>
      </c>
      <c r="C1131" s="6" t="s">
        <v>520</v>
      </c>
      <c r="D1131" s="7" t="s">
        <v>1505</v>
      </c>
      <c r="E1131" s="7" t="s">
        <v>522</v>
      </c>
      <c r="F1131" s="12">
        <v>44323</v>
      </c>
      <c r="G1131" s="9">
        <v>101</v>
      </c>
      <c r="H1131" s="6">
        <v>1</v>
      </c>
      <c r="I1131" s="9">
        <v>101</v>
      </c>
    </row>
    <row r="1132" spans="1:9" ht="14.25">
      <c r="A1132" s="6">
        <v>1128</v>
      </c>
      <c r="B1132" s="7" t="s">
        <v>453</v>
      </c>
      <c r="C1132" s="6" t="s">
        <v>520</v>
      </c>
      <c r="D1132" s="7" t="s">
        <v>697</v>
      </c>
      <c r="E1132" s="7" t="s">
        <v>522</v>
      </c>
      <c r="F1132" s="12">
        <v>44694</v>
      </c>
      <c r="G1132" s="9">
        <v>213</v>
      </c>
      <c r="H1132" s="6">
        <v>2</v>
      </c>
      <c r="I1132" s="9">
        <v>106.5</v>
      </c>
    </row>
    <row r="1133" spans="1:9" ht="14.25">
      <c r="A1133" s="6">
        <v>1129</v>
      </c>
      <c r="B1133" s="7" t="s">
        <v>308</v>
      </c>
      <c r="C1133" s="6" t="s">
        <v>520</v>
      </c>
      <c r="D1133" s="7" t="s">
        <v>1480</v>
      </c>
      <c r="E1133" s="7" t="s">
        <v>522</v>
      </c>
      <c r="F1133" s="12">
        <v>44729</v>
      </c>
      <c r="G1133" s="9">
        <v>1155</v>
      </c>
      <c r="H1133" s="6">
        <v>2</v>
      </c>
      <c r="I1133" s="9">
        <v>577.5</v>
      </c>
    </row>
    <row r="1134" spans="1:9" ht="14.25">
      <c r="A1134" s="6">
        <v>1130</v>
      </c>
      <c r="B1134" s="7" t="s">
        <v>308</v>
      </c>
      <c r="C1134" s="6" t="s">
        <v>520</v>
      </c>
      <c r="D1134" s="7" t="s">
        <v>1506</v>
      </c>
      <c r="E1134" s="7" t="s">
        <v>522</v>
      </c>
      <c r="F1134" s="12">
        <v>45002</v>
      </c>
      <c r="G1134" s="9">
        <v>201</v>
      </c>
      <c r="H1134" s="6">
        <v>1</v>
      </c>
      <c r="I1134" s="9">
        <v>201</v>
      </c>
    </row>
    <row r="1135" spans="1:9" ht="14.25">
      <c r="A1135" s="6">
        <v>1131</v>
      </c>
      <c r="B1135" s="7" t="s">
        <v>343</v>
      </c>
      <c r="C1135" s="6" t="s">
        <v>520</v>
      </c>
      <c r="D1135" s="7" t="s">
        <v>1507</v>
      </c>
      <c r="E1135" s="7" t="s">
        <v>522</v>
      </c>
      <c r="F1135" s="12">
        <v>44672</v>
      </c>
      <c r="G1135" s="9">
        <v>476</v>
      </c>
      <c r="H1135" s="6">
        <v>1</v>
      </c>
      <c r="I1135" s="9">
        <v>476</v>
      </c>
    </row>
    <row r="1136" spans="1:9" ht="14.25">
      <c r="A1136" s="6">
        <v>1132</v>
      </c>
      <c r="B1136" s="7" t="s">
        <v>369</v>
      </c>
      <c r="C1136" s="6" t="s">
        <v>520</v>
      </c>
      <c r="D1136" s="7" t="s">
        <v>1508</v>
      </c>
      <c r="E1136" s="7" t="s">
        <v>522</v>
      </c>
      <c r="F1136" s="12">
        <v>44483</v>
      </c>
      <c r="G1136" s="9">
        <v>308.39999999999998</v>
      </c>
      <c r="H1136" s="6">
        <v>1</v>
      </c>
      <c r="I1136" s="9">
        <v>308.39999999999998</v>
      </c>
    </row>
    <row r="1137" spans="1:9" ht="14.25">
      <c r="A1137" s="6">
        <v>1133</v>
      </c>
      <c r="B1137" s="7" t="s">
        <v>211</v>
      </c>
      <c r="C1137" s="6" t="s">
        <v>520</v>
      </c>
      <c r="D1137" s="7" t="s">
        <v>1509</v>
      </c>
      <c r="E1137" s="7" t="s">
        <v>522</v>
      </c>
      <c r="F1137" s="12">
        <v>44490</v>
      </c>
      <c r="G1137" s="9">
        <v>1102</v>
      </c>
      <c r="H1137" s="6">
        <v>1</v>
      </c>
      <c r="I1137" s="9">
        <v>1102</v>
      </c>
    </row>
    <row r="1138" spans="1:9" ht="14.25">
      <c r="A1138" s="6">
        <v>1134</v>
      </c>
      <c r="B1138" s="7" t="s">
        <v>211</v>
      </c>
      <c r="C1138" s="6" t="s">
        <v>536</v>
      </c>
      <c r="D1138" s="7" t="s">
        <v>573</v>
      </c>
      <c r="E1138" s="7" t="s">
        <v>522</v>
      </c>
      <c r="F1138" s="12">
        <v>45035</v>
      </c>
      <c r="G1138" s="9">
        <v>1042</v>
      </c>
      <c r="H1138" s="6">
        <v>2</v>
      </c>
      <c r="I1138" s="9">
        <v>521</v>
      </c>
    </row>
    <row r="1139" spans="1:9" ht="14.25">
      <c r="A1139" s="6">
        <v>1135</v>
      </c>
      <c r="B1139" s="7" t="s">
        <v>98</v>
      </c>
      <c r="C1139" s="6" t="s">
        <v>520</v>
      </c>
      <c r="D1139" s="7" t="s">
        <v>1510</v>
      </c>
      <c r="E1139" s="7" t="s">
        <v>522</v>
      </c>
      <c r="F1139" s="12">
        <v>45247</v>
      </c>
      <c r="G1139" s="9">
        <v>2525</v>
      </c>
      <c r="H1139" s="6">
        <v>1</v>
      </c>
      <c r="I1139" s="9">
        <v>2525</v>
      </c>
    </row>
    <row r="1140" spans="1:9" ht="14.25">
      <c r="A1140" s="6">
        <v>1136</v>
      </c>
      <c r="B1140" s="7" t="s">
        <v>98</v>
      </c>
      <c r="C1140" s="6" t="s">
        <v>520</v>
      </c>
      <c r="D1140" s="7" t="s">
        <v>1511</v>
      </c>
      <c r="E1140" s="7" t="s">
        <v>522</v>
      </c>
      <c r="F1140" s="12">
        <v>45609</v>
      </c>
      <c r="G1140" s="9">
        <v>3062</v>
      </c>
      <c r="H1140" s="6">
        <v>1</v>
      </c>
      <c r="I1140" s="9">
        <v>3062</v>
      </c>
    </row>
    <row r="1141" spans="1:9" ht="14.25">
      <c r="A1141" s="6">
        <v>1137</v>
      </c>
      <c r="B1141" s="7" t="s">
        <v>232</v>
      </c>
      <c r="C1141" s="6" t="s">
        <v>520</v>
      </c>
      <c r="D1141" s="7" t="s">
        <v>1512</v>
      </c>
      <c r="E1141" s="7" t="s">
        <v>544</v>
      </c>
      <c r="F1141" s="12">
        <v>44533</v>
      </c>
      <c r="G1141" s="9">
        <v>500</v>
      </c>
      <c r="H1141" s="6">
        <v>1</v>
      </c>
      <c r="I1141" s="9">
        <v>500</v>
      </c>
    </row>
    <row r="1142" spans="1:9" ht="14.25">
      <c r="A1142" s="6">
        <v>1138</v>
      </c>
      <c r="B1142" s="7" t="s">
        <v>232</v>
      </c>
      <c r="C1142" s="6" t="s">
        <v>520</v>
      </c>
      <c r="D1142" s="7" t="s">
        <v>1513</v>
      </c>
      <c r="E1142" s="7" t="s">
        <v>544</v>
      </c>
      <c r="F1142" s="12">
        <v>44861</v>
      </c>
      <c r="G1142" s="9">
        <v>1000</v>
      </c>
      <c r="H1142" s="6">
        <v>1</v>
      </c>
      <c r="I1142" s="9">
        <v>1000</v>
      </c>
    </row>
    <row r="1143" spans="1:9" ht="14.25">
      <c r="A1143" s="6">
        <v>1139</v>
      </c>
      <c r="B1143" s="7" t="s">
        <v>144</v>
      </c>
      <c r="C1143" s="6" t="s">
        <v>520</v>
      </c>
      <c r="D1143" s="7" t="s">
        <v>997</v>
      </c>
      <c r="E1143" s="7" t="s">
        <v>544</v>
      </c>
      <c r="F1143" s="12">
        <v>44195</v>
      </c>
      <c r="G1143" s="9">
        <v>1300</v>
      </c>
      <c r="H1143" s="6">
        <v>2</v>
      </c>
      <c r="I1143" s="9">
        <v>650</v>
      </c>
    </row>
    <row r="1144" spans="1:9" ht="14.25">
      <c r="A1144" s="6">
        <v>1140</v>
      </c>
      <c r="B1144" s="7" t="s">
        <v>144</v>
      </c>
      <c r="C1144" s="6" t="s">
        <v>536</v>
      </c>
      <c r="D1144" s="7" t="s">
        <v>1514</v>
      </c>
      <c r="E1144" s="7" t="s">
        <v>522</v>
      </c>
      <c r="F1144" s="12">
        <v>44141</v>
      </c>
      <c r="G1144" s="9">
        <v>3675</v>
      </c>
      <c r="H1144" s="6">
        <v>2</v>
      </c>
      <c r="I1144" s="9">
        <v>1837.5</v>
      </c>
    </row>
    <row r="1145" spans="1:9" ht="14.25">
      <c r="A1145" s="6">
        <v>1141</v>
      </c>
      <c r="B1145" s="7" t="s">
        <v>144</v>
      </c>
      <c r="C1145" s="6" t="s">
        <v>536</v>
      </c>
      <c r="D1145" s="7" t="s">
        <v>1231</v>
      </c>
      <c r="E1145" s="7" t="s">
        <v>522</v>
      </c>
      <c r="F1145" s="12">
        <v>44390</v>
      </c>
      <c r="G1145" s="9">
        <v>711</v>
      </c>
      <c r="H1145" s="6">
        <v>2</v>
      </c>
      <c r="I1145" s="9">
        <v>355.5</v>
      </c>
    </row>
    <row r="1146" spans="1:9" ht="14.25">
      <c r="A1146" s="6">
        <v>1142</v>
      </c>
      <c r="B1146" s="7" t="s">
        <v>144</v>
      </c>
      <c r="C1146" s="6" t="s">
        <v>536</v>
      </c>
      <c r="D1146" s="7" t="s">
        <v>1358</v>
      </c>
      <c r="E1146" s="7" t="s">
        <v>522</v>
      </c>
      <c r="F1146" s="12">
        <v>45085</v>
      </c>
      <c r="G1146" s="9">
        <v>4000</v>
      </c>
      <c r="H1146" s="6">
        <v>2</v>
      </c>
      <c r="I1146" s="9">
        <v>2000</v>
      </c>
    </row>
    <row r="1147" spans="1:9" ht="14.25">
      <c r="A1147" s="6">
        <v>1143</v>
      </c>
      <c r="B1147" s="7" t="s">
        <v>444</v>
      </c>
      <c r="C1147" s="6" t="s">
        <v>536</v>
      </c>
      <c r="D1147" s="7" t="s">
        <v>994</v>
      </c>
      <c r="E1147" s="7" t="s">
        <v>522</v>
      </c>
      <c r="F1147" s="12">
        <v>45279</v>
      </c>
      <c r="G1147" s="9">
        <v>237</v>
      </c>
      <c r="H1147" s="6">
        <v>2</v>
      </c>
      <c r="I1147" s="9">
        <v>118.5</v>
      </c>
    </row>
    <row r="1148" spans="1:9" ht="14.25">
      <c r="A1148" s="6">
        <v>1144</v>
      </c>
      <c r="B1148" s="7" t="s">
        <v>377</v>
      </c>
      <c r="C1148" s="6" t="s">
        <v>520</v>
      </c>
      <c r="D1148" s="7" t="s">
        <v>1515</v>
      </c>
      <c r="E1148" s="7" t="s">
        <v>522</v>
      </c>
      <c r="F1148" s="12">
        <v>44138</v>
      </c>
      <c r="G1148" s="9">
        <v>136</v>
      </c>
      <c r="H1148" s="6">
        <v>1</v>
      </c>
      <c r="I1148" s="9">
        <v>136</v>
      </c>
    </row>
    <row r="1149" spans="1:9" ht="14.25">
      <c r="A1149" s="6">
        <v>1145</v>
      </c>
      <c r="B1149" s="7" t="s">
        <v>377</v>
      </c>
      <c r="C1149" s="6" t="s">
        <v>520</v>
      </c>
      <c r="D1149" s="7" t="s">
        <v>1516</v>
      </c>
      <c r="E1149" s="7" t="s">
        <v>522</v>
      </c>
      <c r="F1149" s="12">
        <v>44588</v>
      </c>
      <c r="G1149" s="9">
        <v>291</v>
      </c>
      <c r="H1149" s="6">
        <v>1</v>
      </c>
      <c r="I1149" s="9">
        <v>291</v>
      </c>
    </row>
    <row r="1150" spans="1:9" ht="14.25">
      <c r="A1150" s="6">
        <v>1146</v>
      </c>
      <c r="B1150" s="7" t="s">
        <v>377</v>
      </c>
      <c r="C1150" s="6" t="s">
        <v>536</v>
      </c>
      <c r="D1150" s="7" t="s">
        <v>976</v>
      </c>
      <c r="E1150" s="7" t="s">
        <v>522</v>
      </c>
      <c r="F1150" s="12">
        <v>45293</v>
      </c>
      <c r="G1150" s="9">
        <v>285</v>
      </c>
      <c r="H1150" s="6">
        <v>2</v>
      </c>
      <c r="I1150" s="9">
        <v>142.5</v>
      </c>
    </row>
    <row r="1151" spans="1:9" ht="14.25">
      <c r="A1151" s="6">
        <v>1147</v>
      </c>
      <c r="B1151" s="7" t="s">
        <v>256</v>
      </c>
      <c r="C1151" s="6" t="s">
        <v>536</v>
      </c>
      <c r="D1151" s="7" t="s">
        <v>844</v>
      </c>
      <c r="E1151" s="7" t="s">
        <v>522</v>
      </c>
      <c r="F1151" s="12">
        <v>42759</v>
      </c>
      <c r="G1151" s="9">
        <v>1670</v>
      </c>
      <c r="H1151" s="6">
        <v>2</v>
      </c>
      <c r="I1151" s="9">
        <v>835</v>
      </c>
    </row>
    <row r="1152" spans="1:9" ht="14.25">
      <c r="A1152" s="6">
        <v>1148</v>
      </c>
      <c r="B1152" s="7" t="s">
        <v>256</v>
      </c>
      <c r="C1152" s="6" t="s">
        <v>520</v>
      </c>
      <c r="D1152" s="7" t="s">
        <v>1517</v>
      </c>
      <c r="E1152" s="7" t="s">
        <v>522</v>
      </c>
      <c r="F1152" s="12">
        <v>43599</v>
      </c>
      <c r="G1152" s="9">
        <v>105</v>
      </c>
      <c r="H1152" s="6">
        <v>1</v>
      </c>
      <c r="I1152" s="9">
        <v>105</v>
      </c>
    </row>
    <row r="1153" spans="1:9" ht="14.25">
      <c r="A1153" s="6">
        <v>1149</v>
      </c>
      <c r="B1153" s="7" t="s">
        <v>256</v>
      </c>
      <c r="C1153" s="6" t="s">
        <v>520</v>
      </c>
      <c r="D1153" s="7" t="s">
        <v>1518</v>
      </c>
      <c r="E1153" s="7" t="s">
        <v>522</v>
      </c>
      <c r="F1153" s="12">
        <v>44319</v>
      </c>
      <c r="G1153" s="9">
        <v>79</v>
      </c>
      <c r="H1153" s="6">
        <v>1</v>
      </c>
      <c r="I1153" s="9">
        <v>79</v>
      </c>
    </row>
    <row r="1154" spans="1:9" ht="14.25">
      <c r="A1154" s="6">
        <v>1150</v>
      </c>
      <c r="B1154" s="7" t="s">
        <v>184</v>
      </c>
      <c r="C1154" s="6" t="s">
        <v>520</v>
      </c>
      <c r="D1154" s="7" t="s">
        <v>1519</v>
      </c>
      <c r="E1154" s="7" t="s">
        <v>522</v>
      </c>
      <c r="F1154" s="12">
        <v>44050</v>
      </c>
      <c r="G1154" s="9">
        <v>112.5</v>
      </c>
      <c r="H1154" s="6">
        <v>1</v>
      </c>
      <c r="I1154" s="9">
        <v>112.5</v>
      </c>
    </row>
    <row r="1155" spans="1:9" ht="14.25">
      <c r="A1155" s="6">
        <v>1151</v>
      </c>
      <c r="B1155" s="7" t="s">
        <v>184</v>
      </c>
      <c r="C1155" s="6" t="s">
        <v>520</v>
      </c>
      <c r="D1155" s="7" t="s">
        <v>1520</v>
      </c>
      <c r="E1155" s="7" t="s">
        <v>522</v>
      </c>
      <c r="F1155" s="12">
        <v>44176</v>
      </c>
      <c r="G1155" s="9">
        <v>21.6</v>
      </c>
      <c r="H1155" s="6">
        <v>1</v>
      </c>
      <c r="I1155" s="9">
        <v>21.6</v>
      </c>
    </row>
    <row r="1156" spans="1:9" ht="14.25">
      <c r="A1156" s="6">
        <v>1152</v>
      </c>
      <c r="B1156" s="7" t="s">
        <v>184</v>
      </c>
      <c r="C1156" s="6" t="s">
        <v>520</v>
      </c>
      <c r="D1156" s="7" t="s">
        <v>1521</v>
      </c>
      <c r="E1156" s="7" t="s">
        <v>522</v>
      </c>
      <c r="F1156" s="12">
        <v>44484</v>
      </c>
      <c r="G1156" s="9">
        <v>1344</v>
      </c>
      <c r="H1156" s="6">
        <v>1</v>
      </c>
      <c r="I1156" s="9">
        <v>1344</v>
      </c>
    </row>
    <row r="1157" spans="1:9" ht="14.25">
      <c r="A1157" s="6">
        <v>1153</v>
      </c>
      <c r="B1157" s="7" t="s">
        <v>184</v>
      </c>
      <c r="C1157" s="6" t="s">
        <v>520</v>
      </c>
      <c r="D1157" s="7" t="s">
        <v>1522</v>
      </c>
      <c r="E1157" s="7" t="s">
        <v>522</v>
      </c>
      <c r="F1157" s="12">
        <v>44769</v>
      </c>
      <c r="G1157" s="9">
        <v>171</v>
      </c>
      <c r="H1157" s="6">
        <v>1</v>
      </c>
      <c r="I1157" s="9">
        <v>171</v>
      </c>
    </row>
    <row r="1158" spans="1:9" ht="14.25">
      <c r="A1158" s="6">
        <v>1154</v>
      </c>
      <c r="B1158" s="7" t="s">
        <v>184</v>
      </c>
      <c r="C1158" s="6" t="s">
        <v>536</v>
      </c>
      <c r="D1158" s="7" t="s">
        <v>1157</v>
      </c>
      <c r="E1158" s="7" t="s">
        <v>522</v>
      </c>
      <c r="F1158" s="12">
        <v>45160</v>
      </c>
      <c r="G1158" s="9">
        <v>913</v>
      </c>
      <c r="H1158" s="6">
        <v>3</v>
      </c>
      <c r="I1158" s="9">
        <v>304.3</v>
      </c>
    </row>
    <row r="1159" spans="1:9" ht="14.25">
      <c r="A1159" s="6">
        <v>1155</v>
      </c>
      <c r="B1159" s="7" t="s">
        <v>184</v>
      </c>
      <c r="C1159" s="6" t="s">
        <v>520</v>
      </c>
      <c r="D1159" s="7" t="s">
        <v>1523</v>
      </c>
      <c r="E1159" s="7" t="s">
        <v>522</v>
      </c>
      <c r="F1159" s="12">
        <v>45019</v>
      </c>
      <c r="G1159" s="9">
        <v>351</v>
      </c>
      <c r="H1159" s="6">
        <v>1</v>
      </c>
      <c r="I1159" s="9">
        <v>351</v>
      </c>
    </row>
    <row r="1160" spans="1:9" ht="14.25">
      <c r="A1160" s="6">
        <v>1156</v>
      </c>
      <c r="B1160" s="7" t="s">
        <v>184</v>
      </c>
      <c r="C1160" s="6" t="s">
        <v>520</v>
      </c>
      <c r="D1160" s="7" t="s">
        <v>1524</v>
      </c>
      <c r="E1160" s="7" t="s">
        <v>522</v>
      </c>
      <c r="F1160" s="12">
        <v>45481</v>
      </c>
      <c r="G1160" s="9">
        <v>950</v>
      </c>
      <c r="H1160" s="6">
        <v>1</v>
      </c>
      <c r="I1160" s="9">
        <v>950</v>
      </c>
    </row>
    <row r="1161" spans="1:9" ht="14.25">
      <c r="A1161" s="6">
        <v>1157</v>
      </c>
      <c r="B1161" s="7" t="s">
        <v>36</v>
      </c>
      <c r="C1161" s="6" t="s">
        <v>520</v>
      </c>
      <c r="D1161" s="7" t="s">
        <v>1525</v>
      </c>
      <c r="E1161" s="7" t="s">
        <v>522</v>
      </c>
      <c r="F1161" s="12">
        <v>40231</v>
      </c>
      <c r="G1161" s="9">
        <v>16575.5</v>
      </c>
      <c r="H1161" s="6">
        <v>2</v>
      </c>
      <c r="I1161" s="9">
        <v>8287.7999999999993</v>
      </c>
    </row>
    <row r="1162" spans="1:9" ht="14.25">
      <c r="A1162" s="6">
        <v>1158</v>
      </c>
      <c r="B1162" s="7" t="s">
        <v>36</v>
      </c>
      <c r="C1162" s="6" t="s">
        <v>536</v>
      </c>
      <c r="D1162" s="7" t="s">
        <v>908</v>
      </c>
      <c r="E1162" s="7" t="s">
        <v>522</v>
      </c>
      <c r="F1162" s="12">
        <v>42717</v>
      </c>
      <c r="G1162" s="9">
        <v>1352</v>
      </c>
      <c r="H1162" s="6">
        <v>2</v>
      </c>
      <c r="I1162" s="9">
        <v>676</v>
      </c>
    </row>
    <row r="1163" spans="1:9" ht="14.25">
      <c r="A1163" s="6">
        <v>1159</v>
      </c>
      <c r="B1163" s="7" t="s">
        <v>36</v>
      </c>
      <c r="C1163" s="6" t="s">
        <v>520</v>
      </c>
      <c r="D1163" s="7" t="s">
        <v>1526</v>
      </c>
      <c r="E1163" s="7" t="s">
        <v>522</v>
      </c>
      <c r="F1163" s="12">
        <v>42549</v>
      </c>
      <c r="G1163" s="9">
        <v>2646</v>
      </c>
      <c r="H1163" s="6">
        <v>1</v>
      </c>
      <c r="I1163" s="9">
        <v>2646</v>
      </c>
    </row>
    <row r="1164" spans="1:9" ht="14.25">
      <c r="A1164" s="6">
        <v>1160</v>
      </c>
      <c r="B1164" s="7" t="s">
        <v>36</v>
      </c>
      <c r="C1164" s="6" t="s">
        <v>520</v>
      </c>
      <c r="D1164" s="7" t="s">
        <v>1226</v>
      </c>
      <c r="E1164" s="7" t="s">
        <v>522</v>
      </c>
      <c r="F1164" s="12">
        <v>43434</v>
      </c>
      <c r="G1164" s="9">
        <v>900</v>
      </c>
      <c r="H1164" s="6">
        <v>2</v>
      </c>
      <c r="I1164" s="9">
        <v>450</v>
      </c>
    </row>
    <row r="1165" spans="1:9" ht="14.25">
      <c r="A1165" s="6">
        <v>1161</v>
      </c>
      <c r="B1165" s="7" t="s">
        <v>36</v>
      </c>
      <c r="C1165" s="6" t="s">
        <v>520</v>
      </c>
      <c r="D1165" s="7" t="s">
        <v>1527</v>
      </c>
      <c r="E1165" s="7" t="s">
        <v>522</v>
      </c>
      <c r="F1165" s="12">
        <v>43154</v>
      </c>
      <c r="G1165" s="9">
        <v>1500</v>
      </c>
      <c r="H1165" s="6">
        <v>1</v>
      </c>
      <c r="I1165" s="9">
        <v>1500</v>
      </c>
    </row>
    <row r="1166" spans="1:9" ht="14.25">
      <c r="A1166" s="6">
        <v>1162</v>
      </c>
      <c r="B1166" s="7" t="s">
        <v>36</v>
      </c>
      <c r="C1166" s="6" t="s">
        <v>520</v>
      </c>
      <c r="D1166" s="7" t="s">
        <v>1228</v>
      </c>
      <c r="E1166" s="7" t="s">
        <v>522</v>
      </c>
      <c r="F1166" s="12">
        <v>44439</v>
      </c>
      <c r="G1166" s="9">
        <v>7050</v>
      </c>
      <c r="H1166" s="6">
        <v>2</v>
      </c>
      <c r="I1166" s="9">
        <v>3525</v>
      </c>
    </row>
    <row r="1167" spans="1:9" ht="14.25">
      <c r="A1167" s="6">
        <v>1163</v>
      </c>
      <c r="B1167" s="7" t="s">
        <v>36</v>
      </c>
      <c r="C1167" s="6" t="s">
        <v>520</v>
      </c>
      <c r="D1167" s="7" t="s">
        <v>1352</v>
      </c>
      <c r="E1167" s="7" t="s">
        <v>522</v>
      </c>
      <c r="F1167" s="12">
        <v>44200</v>
      </c>
      <c r="G1167" s="9">
        <v>2000</v>
      </c>
      <c r="H1167" s="6">
        <v>2</v>
      </c>
      <c r="I1167" s="9">
        <v>1000</v>
      </c>
    </row>
    <row r="1168" spans="1:9" ht="14.25">
      <c r="A1168" s="6">
        <v>1164</v>
      </c>
      <c r="B1168" s="7" t="s">
        <v>36</v>
      </c>
      <c r="C1168" s="6" t="s">
        <v>520</v>
      </c>
      <c r="D1168" s="7" t="s">
        <v>808</v>
      </c>
      <c r="E1168" s="7" t="s">
        <v>522</v>
      </c>
      <c r="F1168" s="12">
        <v>44818</v>
      </c>
      <c r="G1168" s="9">
        <v>1240</v>
      </c>
      <c r="H1168" s="6">
        <v>3</v>
      </c>
      <c r="I1168" s="9">
        <v>413.3</v>
      </c>
    </row>
    <row r="1169" spans="1:9" ht="14.25">
      <c r="A1169" s="6">
        <v>1165</v>
      </c>
      <c r="B1169" s="7" t="s">
        <v>36</v>
      </c>
      <c r="C1169" s="6" t="s">
        <v>520</v>
      </c>
      <c r="D1169" s="7" t="s">
        <v>749</v>
      </c>
      <c r="E1169" s="7" t="s">
        <v>522</v>
      </c>
      <c r="F1169" s="12">
        <v>45105</v>
      </c>
      <c r="G1169" s="9">
        <v>2546.5</v>
      </c>
      <c r="H1169" s="6">
        <v>2</v>
      </c>
      <c r="I1169" s="9">
        <v>1273.2</v>
      </c>
    </row>
    <row r="1170" spans="1:9" ht="14.25">
      <c r="A1170" s="6">
        <v>1166</v>
      </c>
      <c r="B1170" s="7" t="s">
        <v>36</v>
      </c>
      <c r="C1170" s="6" t="s">
        <v>520</v>
      </c>
      <c r="D1170" s="7" t="s">
        <v>1384</v>
      </c>
      <c r="E1170" s="7" t="s">
        <v>522</v>
      </c>
      <c r="F1170" s="12">
        <v>44985</v>
      </c>
      <c r="G1170" s="9">
        <v>1600</v>
      </c>
      <c r="H1170" s="6">
        <v>2</v>
      </c>
      <c r="I1170" s="9">
        <v>800</v>
      </c>
    </row>
    <row r="1171" spans="1:9" ht="14.25">
      <c r="A1171" s="6">
        <v>1167</v>
      </c>
      <c r="B1171" s="7" t="s">
        <v>36</v>
      </c>
      <c r="C1171" s="6" t="s">
        <v>520</v>
      </c>
      <c r="D1171" s="7" t="s">
        <v>1436</v>
      </c>
      <c r="E1171" s="7" t="s">
        <v>522</v>
      </c>
      <c r="F1171" s="12">
        <v>45077</v>
      </c>
      <c r="G1171" s="9">
        <v>1000</v>
      </c>
      <c r="H1171" s="6">
        <v>2</v>
      </c>
      <c r="I1171" s="9">
        <v>500</v>
      </c>
    </row>
    <row r="1172" spans="1:9" ht="14.25">
      <c r="A1172" s="6">
        <v>1168</v>
      </c>
      <c r="B1172" s="7" t="s">
        <v>36</v>
      </c>
      <c r="C1172" s="6" t="s">
        <v>520</v>
      </c>
      <c r="D1172" s="7" t="s">
        <v>870</v>
      </c>
      <c r="E1172" s="7" t="s">
        <v>522</v>
      </c>
      <c r="F1172" s="12">
        <v>45364</v>
      </c>
      <c r="G1172" s="9">
        <v>2150</v>
      </c>
      <c r="H1172" s="6">
        <v>2</v>
      </c>
      <c r="I1172" s="9">
        <v>1075</v>
      </c>
    </row>
    <row r="1173" spans="1:9" ht="14.25">
      <c r="A1173" s="6">
        <v>1169</v>
      </c>
      <c r="B1173" s="7" t="s">
        <v>66</v>
      </c>
      <c r="C1173" s="6" t="s">
        <v>520</v>
      </c>
      <c r="D1173" s="7" t="s">
        <v>1528</v>
      </c>
      <c r="E1173" s="7" t="s">
        <v>522</v>
      </c>
      <c r="F1173" s="12">
        <v>45103</v>
      </c>
      <c r="G1173" s="9">
        <v>5000</v>
      </c>
      <c r="H1173" s="6">
        <v>1</v>
      </c>
      <c r="I1173" s="9">
        <v>5000</v>
      </c>
    </row>
    <row r="1174" spans="1:9" ht="14.25">
      <c r="A1174" s="6">
        <v>1170</v>
      </c>
      <c r="B1174" s="7" t="s">
        <v>66</v>
      </c>
      <c r="C1174" s="6" t="s">
        <v>520</v>
      </c>
      <c r="D1174" s="7" t="s">
        <v>1529</v>
      </c>
      <c r="E1174" s="7" t="s">
        <v>522</v>
      </c>
      <c r="F1174" s="12">
        <v>45371</v>
      </c>
      <c r="G1174" s="9">
        <v>500</v>
      </c>
      <c r="H1174" s="6">
        <v>1</v>
      </c>
      <c r="I1174" s="9">
        <v>500</v>
      </c>
    </row>
    <row r="1175" spans="1:9" ht="14.25">
      <c r="A1175" s="6">
        <v>1171</v>
      </c>
      <c r="B1175" s="7" t="s">
        <v>66</v>
      </c>
      <c r="C1175" s="6" t="s">
        <v>520</v>
      </c>
      <c r="D1175" s="7" t="s">
        <v>1530</v>
      </c>
      <c r="E1175" s="7" t="s">
        <v>522</v>
      </c>
      <c r="F1175" s="12">
        <v>45503</v>
      </c>
      <c r="G1175" s="9">
        <v>4500</v>
      </c>
      <c r="H1175" s="6">
        <v>1</v>
      </c>
      <c r="I1175" s="9">
        <v>4500</v>
      </c>
    </row>
    <row r="1176" spans="1:9" ht="14.25">
      <c r="A1176" s="6">
        <v>1172</v>
      </c>
      <c r="B1176" s="7" t="s">
        <v>247</v>
      </c>
      <c r="C1176" s="6" t="s">
        <v>536</v>
      </c>
      <c r="D1176" s="7" t="s">
        <v>1531</v>
      </c>
      <c r="E1176" s="7" t="s">
        <v>522</v>
      </c>
      <c r="F1176" s="12">
        <v>45222</v>
      </c>
      <c r="G1176" s="9">
        <v>160</v>
      </c>
      <c r="H1176" s="6">
        <v>2</v>
      </c>
      <c r="I1176" s="9">
        <v>80</v>
      </c>
    </row>
    <row r="1177" spans="1:9" ht="14.25">
      <c r="A1177" s="6">
        <v>1173</v>
      </c>
      <c r="B1177" s="7" t="s">
        <v>247</v>
      </c>
      <c r="C1177" s="6" t="s">
        <v>520</v>
      </c>
      <c r="D1177" s="7" t="s">
        <v>1391</v>
      </c>
      <c r="E1177" s="7" t="s">
        <v>522</v>
      </c>
      <c r="F1177" s="12">
        <v>45251</v>
      </c>
      <c r="G1177" s="9">
        <v>490</v>
      </c>
      <c r="H1177" s="6">
        <v>2</v>
      </c>
      <c r="I1177" s="9">
        <v>245</v>
      </c>
    </row>
    <row r="1178" spans="1:9" ht="14.25">
      <c r="A1178" s="6">
        <v>1174</v>
      </c>
      <c r="B1178" s="7" t="s">
        <v>247</v>
      </c>
      <c r="C1178" s="6" t="s">
        <v>520</v>
      </c>
      <c r="D1178" s="7" t="s">
        <v>1346</v>
      </c>
      <c r="E1178" s="7" t="s">
        <v>522</v>
      </c>
      <c r="F1178" s="12">
        <v>45644</v>
      </c>
      <c r="G1178" s="9">
        <v>1800</v>
      </c>
      <c r="H1178" s="6">
        <v>2</v>
      </c>
      <c r="I1178" s="9">
        <v>900</v>
      </c>
    </row>
    <row r="1179" spans="1:9" ht="14.25">
      <c r="A1179" s="6">
        <v>1175</v>
      </c>
      <c r="B1179" s="7" t="s">
        <v>247</v>
      </c>
      <c r="C1179" s="6" t="s">
        <v>520</v>
      </c>
      <c r="D1179" s="7" t="s">
        <v>1438</v>
      </c>
      <c r="E1179" s="7" t="s">
        <v>522</v>
      </c>
      <c r="F1179" s="12">
        <v>45617</v>
      </c>
      <c r="G1179" s="9">
        <v>1115.0999999999999</v>
      </c>
      <c r="H1179" s="6">
        <v>3</v>
      </c>
      <c r="I1179" s="9">
        <v>371.7</v>
      </c>
    </row>
    <row r="1180" spans="1:9" ht="14.25">
      <c r="A1180" s="6">
        <v>1176</v>
      </c>
      <c r="B1180" s="7" t="s">
        <v>155</v>
      </c>
      <c r="C1180" s="6" t="s">
        <v>520</v>
      </c>
      <c r="D1180" s="7" t="s">
        <v>1532</v>
      </c>
      <c r="E1180" s="7" t="s">
        <v>522</v>
      </c>
      <c r="F1180" s="12">
        <v>42144</v>
      </c>
      <c r="G1180" s="9">
        <v>1300</v>
      </c>
      <c r="H1180" s="6">
        <v>1</v>
      </c>
      <c r="I1180" s="9">
        <v>1300</v>
      </c>
    </row>
    <row r="1181" spans="1:9" ht="14.25">
      <c r="A1181" s="6">
        <v>1177</v>
      </c>
      <c r="B1181" s="7" t="s">
        <v>155</v>
      </c>
      <c r="C1181" s="6" t="s">
        <v>536</v>
      </c>
      <c r="D1181" s="7" t="s">
        <v>1323</v>
      </c>
      <c r="E1181" s="7" t="s">
        <v>522</v>
      </c>
      <c r="F1181" s="12">
        <v>42999</v>
      </c>
      <c r="G1181" s="9">
        <v>1000</v>
      </c>
      <c r="H1181" s="6">
        <v>2</v>
      </c>
      <c r="I1181" s="9">
        <v>500</v>
      </c>
    </row>
    <row r="1182" spans="1:9" ht="14.25">
      <c r="A1182" s="6">
        <v>1178</v>
      </c>
      <c r="B1182" s="7" t="s">
        <v>155</v>
      </c>
      <c r="C1182" s="6" t="s">
        <v>520</v>
      </c>
      <c r="D1182" s="7" t="s">
        <v>1533</v>
      </c>
      <c r="E1182" s="7" t="s">
        <v>522</v>
      </c>
      <c r="F1182" s="12">
        <v>43979</v>
      </c>
      <c r="G1182" s="9">
        <v>100</v>
      </c>
      <c r="H1182" s="6">
        <v>1</v>
      </c>
      <c r="I1182" s="9">
        <v>100</v>
      </c>
    </row>
    <row r="1183" spans="1:9" ht="14.25">
      <c r="A1183" s="6">
        <v>1179</v>
      </c>
      <c r="B1183" s="7" t="s">
        <v>155</v>
      </c>
      <c r="C1183" s="6" t="s">
        <v>520</v>
      </c>
      <c r="D1183" s="7" t="s">
        <v>1534</v>
      </c>
      <c r="E1183" s="7" t="s">
        <v>522</v>
      </c>
      <c r="F1183" s="12">
        <v>43840</v>
      </c>
      <c r="G1183" s="9">
        <v>1800</v>
      </c>
      <c r="H1183" s="6">
        <v>1</v>
      </c>
      <c r="I1183" s="9">
        <v>1800</v>
      </c>
    </row>
    <row r="1184" spans="1:9" ht="14.25">
      <c r="A1184" s="6">
        <v>1180</v>
      </c>
      <c r="B1184" s="7" t="s">
        <v>155</v>
      </c>
      <c r="C1184" s="6" t="s">
        <v>520</v>
      </c>
      <c r="D1184" s="7" t="s">
        <v>576</v>
      </c>
      <c r="E1184" s="7" t="s">
        <v>522</v>
      </c>
      <c r="F1184" s="12">
        <v>44267</v>
      </c>
      <c r="G1184" s="9">
        <v>215</v>
      </c>
      <c r="H1184" s="6">
        <v>2</v>
      </c>
      <c r="I1184" s="9">
        <v>107.5</v>
      </c>
    </row>
    <row r="1185" spans="1:9" ht="14.25">
      <c r="A1185" s="6">
        <v>1181</v>
      </c>
      <c r="B1185" s="7" t="s">
        <v>155</v>
      </c>
      <c r="C1185" s="6" t="s">
        <v>520</v>
      </c>
      <c r="D1185" s="7" t="s">
        <v>743</v>
      </c>
      <c r="E1185" s="7" t="s">
        <v>522</v>
      </c>
      <c r="F1185" s="12">
        <v>44434</v>
      </c>
      <c r="G1185" s="9">
        <v>217</v>
      </c>
      <c r="H1185" s="6">
        <v>2</v>
      </c>
      <c r="I1185" s="9">
        <v>108.5</v>
      </c>
    </row>
    <row r="1186" spans="1:9" ht="14.25">
      <c r="A1186" s="6">
        <v>1182</v>
      </c>
      <c r="B1186" s="7" t="s">
        <v>155</v>
      </c>
      <c r="C1186" s="6" t="s">
        <v>520</v>
      </c>
      <c r="D1186" s="7" t="s">
        <v>1435</v>
      </c>
      <c r="E1186" s="7" t="s">
        <v>522</v>
      </c>
      <c r="F1186" s="12">
        <v>44616</v>
      </c>
      <c r="G1186" s="9">
        <v>507</v>
      </c>
      <c r="H1186" s="6">
        <v>2</v>
      </c>
      <c r="I1186" s="9">
        <v>253.5</v>
      </c>
    </row>
    <row r="1187" spans="1:9" ht="14.25">
      <c r="A1187" s="6">
        <v>1183</v>
      </c>
      <c r="B1187" s="7" t="s">
        <v>155</v>
      </c>
      <c r="C1187" s="6" t="s">
        <v>520</v>
      </c>
      <c r="D1187" s="7" t="s">
        <v>1441</v>
      </c>
      <c r="E1187" s="7" t="s">
        <v>522</v>
      </c>
      <c r="F1187" s="12">
        <v>44827</v>
      </c>
      <c r="G1187" s="9">
        <v>75</v>
      </c>
      <c r="H1187" s="6">
        <v>2</v>
      </c>
      <c r="I1187" s="9">
        <v>37.5</v>
      </c>
    </row>
    <row r="1188" spans="1:9" ht="14.25">
      <c r="A1188" s="6">
        <v>1184</v>
      </c>
      <c r="B1188" s="7" t="s">
        <v>155</v>
      </c>
      <c r="C1188" s="6" t="s">
        <v>536</v>
      </c>
      <c r="D1188" s="7" t="s">
        <v>822</v>
      </c>
      <c r="E1188" s="7" t="s">
        <v>544</v>
      </c>
      <c r="F1188" s="12">
        <v>44881</v>
      </c>
      <c r="G1188" s="9">
        <v>1449</v>
      </c>
      <c r="H1188" s="6">
        <v>2</v>
      </c>
      <c r="I1188" s="9">
        <v>724.5</v>
      </c>
    </row>
    <row r="1189" spans="1:9" ht="14.25">
      <c r="A1189" s="6">
        <v>1185</v>
      </c>
      <c r="B1189" s="7" t="s">
        <v>155</v>
      </c>
      <c r="C1189" s="6" t="s">
        <v>520</v>
      </c>
      <c r="D1189" s="7" t="s">
        <v>1143</v>
      </c>
      <c r="E1189" s="7" t="s">
        <v>522</v>
      </c>
      <c r="F1189" s="12">
        <v>44726</v>
      </c>
      <c r="G1189" s="9">
        <v>605</v>
      </c>
      <c r="H1189" s="6">
        <v>2</v>
      </c>
      <c r="I1189" s="9">
        <v>302.5</v>
      </c>
    </row>
    <row r="1190" spans="1:9" ht="14.25">
      <c r="A1190" s="6">
        <v>1186</v>
      </c>
      <c r="B1190" s="7" t="s">
        <v>155</v>
      </c>
      <c r="C1190" s="6" t="s">
        <v>536</v>
      </c>
      <c r="D1190" s="7" t="s">
        <v>1109</v>
      </c>
      <c r="E1190" s="7" t="s">
        <v>522</v>
      </c>
      <c r="F1190" s="12">
        <v>45246</v>
      </c>
      <c r="G1190" s="9">
        <v>590.4</v>
      </c>
      <c r="H1190" s="6">
        <v>2</v>
      </c>
      <c r="I1190" s="9">
        <v>295.2</v>
      </c>
    </row>
    <row r="1191" spans="1:9" ht="14.25">
      <c r="A1191" s="6">
        <v>1187</v>
      </c>
      <c r="B1191" s="7" t="s">
        <v>155</v>
      </c>
      <c r="C1191" s="6" t="s">
        <v>520</v>
      </c>
      <c r="D1191" s="7" t="s">
        <v>1535</v>
      </c>
      <c r="E1191" s="7" t="s">
        <v>522</v>
      </c>
      <c r="F1191" s="12">
        <v>45383</v>
      </c>
      <c r="G1191" s="9">
        <v>127</v>
      </c>
      <c r="H1191" s="6">
        <v>1</v>
      </c>
      <c r="I1191" s="9">
        <v>127</v>
      </c>
    </row>
    <row r="1192" spans="1:9" ht="14.25">
      <c r="A1192" s="6">
        <v>1188</v>
      </c>
      <c r="B1192" s="7" t="s">
        <v>155</v>
      </c>
      <c r="C1192" s="6" t="s">
        <v>520</v>
      </c>
      <c r="D1192" s="7" t="s">
        <v>1536</v>
      </c>
      <c r="E1192" s="7" t="s">
        <v>522</v>
      </c>
      <c r="F1192" s="12">
        <v>45527</v>
      </c>
      <c r="G1192" s="9">
        <v>180</v>
      </c>
      <c r="H1192" s="6">
        <v>1</v>
      </c>
      <c r="I1192" s="9">
        <v>180</v>
      </c>
    </row>
    <row r="1193" spans="1:9" ht="14.25">
      <c r="A1193" s="6">
        <v>1189</v>
      </c>
      <c r="B1193" s="7" t="s">
        <v>155</v>
      </c>
      <c r="C1193" s="6" t="s">
        <v>520</v>
      </c>
      <c r="D1193" s="7" t="s">
        <v>901</v>
      </c>
      <c r="E1193" s="7" t="s">
        <v>522</v>
      </c>
      <c r="F1193" s="12">
        <v>45454</v>
      </c>
      <c r="G1193" s="9">
        <v>1200</v>
      </c>
      <c r="H1193" s="6">
        <v>2</v>
      </c>
      <c r="I1193" s="9">
        <v>600</v>
      </c>
    </row>
    <row r="1194" spans="1:9" ht="14.25">
      <c r="A1194" s="6">
        <v>1190</v>
      </c>
      <c r="B1194" s="7" t="s">
        <v>74</v>
      </c>
      <c r="C1194" s="6" t="s">
        <v>520</v>
      </c>
      <c r="D1194" s="7" t="s">
        <v>1537</v>
      </c>
      <c r="E1194" s="7" t="s">
        <v>522</v>
      </c>
      <c r="F1194" s="12">
        <v>40606</v>
      </c>
      <c r="G1194" s="9">
        <v>4000</v>
      </c>
      <c r="H1194" s="6">
        <v>1</v>
      </c>
      <c r="I1194" s="9">
        <v>4000</v>
      </c>
    </row>
    <row r="1195" spans="1:9" ht="14.25">
      <c r="A1195" s="6">
        <v>1191</v>
      </c>
      <c r="B1195" s="7" t="s">
        <v>74</v>
      </c>
      <c r="C1195" s="6" t="s">
        <v>536</v>
      </c>
      <c r="D1195" s="7" t="s">
        <v>914</v>
      </c>
      <c r="E1195" s="7" t="s">
        <v>522</v>
      </c>
      <c r="F1195" s="12">
        <v>43404</v>
      </c>
      <c r="G1195" s="9">
        <v>337</v>
      </c>
      <c r="H1195" s="6">
        <v>3</v>
      </c>
      <c r="I1195" s="9">
        <v>112.3</v>
      </c>
    </row>
    <row r="1196" spans="1:9" ht="14.25">
      <c r="A1196" s="6">
        <v>1192</v>
      </c>
      <c r="B1196" s="7" t="s">
        <v>74</v>
      </c>
      <c r="C1196" s="6" t="s">
        <v>536</v>
      </c>
      <c r="D1196" s="13" t="s">
        <v>916</v>
      </c>
      <c r="E1196" s="7" t="s">
        <v>522</v>
      </c>
      <c r="F1196" s="12">
        <v>43691</v>
      </c>
      <c r="G1196" s="9">
        <v>3896</v>
      </c>
      <c r="H1196" s="6">
        <v>2</v>
      </c>
      <c r="I1196" s="9">
        <v>1948</v>
      </c>
    </row>
    <row r="1197" spans="1:9" ht="14.25">
      <c r="A1197" s="6">
        <v>1193</v>
      </c>
      <c r="B1197" s="7" t="s">
        <v>74</v>
      </c>
      <c r="C1197" s="6" t="s">
        <v>536</v>
      </c>
      <c r="D1197" s="7" t="s">
        <v>1037</v>
      </c>
      <c r="E1197" s="7" t="s">
        <v>522</v>
      </c>
      <c r="F1197" s="12">
        <v>44050</v>
      </c>
      <c r="G1197" s="9">
        <v>1304</v>
      </c>
      <c r="H1197" s="6">
        <v>2</v>
      </c>
      <c r="I1197" s="9">
        <v>652</v>
      </c>
    </row>
    <row r="1198" spans="1:9" ht="14.25">
      <c r="A1198" s="6">
        <v>1194</v>
      </c>
      <c r="B1198" s="7" t="s">
        <v>74</v>
      </c>
      <c r="C1198" s="6" t="s">
        <v>520</v>
      </c>
      <c r="D1198" s="7" t="s">
        <v>1025</v>
      </c>
      <c r="E1198" s="7" t="s">
        <v>544</v>
      </c>
      <c r="F1198" s="12">
        <v>44195</v>
      </c>
      <c r="G1198" s="9">
        <v>2555</v>
      </c>
      <c r="H1198" s="6">
        <v>2</v>
      </c>
      <c r="I1198" s="9">
        <v>1277.5</v>
      </c>
    </row>
    <row r="1199" spans="1:9" ht="14.25">
      <c r="A1199" s="6">
        <v>1195</v>
      </c>
      <c r="B1199" s="7" t="s">
        <v>74</v>
      </c>
      <c r="C1199" s="6" t="s">
        <v>520</v>
      </c>
      <c r="D1199" s="7" t="s">
        <v>1538</v>
      </c>
      <c r="E1199" s="7" t="s">
        <v>522</v>
      </c>
      <c r="F1199" s="12">
        <v>44369</v>
      </c>
      <c r="G1199" s="9">
        <v>1030</v>
      </c>
      <c r="H1199" s="6">
        <v>2</v>
      </c>
      <c r="I1199" s="9">
        <v>515</v>
      </c>
    </row>
    <row r="1200" spans="1:9" ht="14.25">
      <c r="A1200" s="6">
        <v>1196</v>
      </c>
      <c r="B1200" s="7" t="s">
        <v>74</v>
      </c>
      <c r="C1200" s="6" t="s">
        <v>520</v>
      </c>
      <c r="D1200" s="7" t="s">
        <v>1539</v>
      </c>
      <c r="E1200" s="7" t="s">
        <v>522</v>
      </c>
      <c r="F1200" s="12">
        <v>44886</v>
      </c>
      <c r="G1200" s="9">
        <v>3880</v>
      </c>
      <c r="H1200" s="6">
        <v>1</v>
      </c>
      <c r="I1200" s="9">
        <v>3880</v>
      </c>
    </row>
    <row r="1201" spans="1:9" ht="14.25">
      <c r="A1201" s="6">
        <v>1197</v>
      </c>
      <c r="B1201" s="7" t="s">
        <v>74</v>
      </c>
      <c r="C1201" s="6" t="s">
        <v>520</v>
      </c>
      <c r="D1201" s="7" t="s">
        <v>1244</v>
      </c>
      <c r="E1201" s="7" t="s">
        <v>522</v>
      </c>
      <c r="F1201" s="12">
        <v>44904</v>
      </c>
      <c r="G1201" s="9">
        <v>7780</v>
      </c>
      <c r="H1201" s="6">
        <v>2</v>
      </c>
      <c r="I1201" s="9">
        <v>3890</v>
      </c>
    </row>
    <row r="1202" spans="1:9" ht="14.25">
      <c r="A1202" s="6">
        <v>1198</v>
      </c>
      <c r="B1202" s="7" t="s">
        <v>74</v>
      </c>
      <c r="C1202" s="6" t="s">
        <v>520</v>
      </c>
      <c r="D1202" s="7" t="s">
        <v>1144</v>
      </c>
      <c r="E1202" s="7" t="s">
        <v>522</v>
      </c>
      <c r="F1202" s="12">
        <v>44579</v>
      </c>
      <c r="G1202" s="9">
        <v>1400</v>
      </c>
      <c r="H1202" s="6">
        <v>2</v>
      </c>
      <c r="I1202" s="9">
        <v>700</v>
      </c>
    </row>
    <row r="1203" spans="1:9" ht="14.25">
      <c r="A1203" s="6">
        <v>1199</v>
      </c>
      <c r="B1203" s="7" t="s">
        <v>74</v>
      </c>
      <c r="C1203" s="6" t="s">
        <v>520</v>
      </c>
      <c r="D1203" s="7" t="s">
        <v>1028</v>
      </c>
      <c r="E1203" s="7" t="s">
        <v>544</v>
      </c>
      <c r="F1203" s="12">
        <v>44802</v>
      </c>
      <c r="G1203" s="9">
        <v>390</v>
      </c>
      <c r="H1203" s="6">
        <v>2</v>
      </c>
      <c r="I1203" s="9">
        <v>195</v>
      </c>
    </row>
    <row r="1204" spans="1:9" ht="14.25">
      <c r="A1204" s="6">
        <v>1200</v>
      </c>
      <c r="B1204" s="7" t="s">
        <v>74</v>
      </c>
      <c r="C1204" s="6" t="s">
        <v>520</v>
      </c>
      <c r="D1204" s="7" t="s">
        <v>1531</v>
      </c>
      <c r="E1204" s="7" t="s">
        <v>522</v>
      </c>
      <c r="F1204" s="12">
        <v>45222</v>
      </c>
      <c r="G1204" s="9">
        <v>160</v>
      </c>
      <c r="H1204" s="6">
        <v>2</v>
      </c>
      <c r="I1204" s="9">
        <v>80</v>
      </c>
    </row>
    <row r="1205" spans="1:9" ht="14.25">
      <c r="A1205" s="6">
        <v>1201</v>
      </c>
      <c r="B1205" s="7" t="s">
        <v>74</v>
      </c>
      <c r="C1205" s="6" t="s">
        <v>520</v>
      </c>
      <c r="D1205" s="7" t="s">
        <v>1540</v>
      </c>
      <c r="E1205" s="7" t="s">
        <v>522</v>
      </c>
      <c r="F1205" s="12">
        <v>45273</v>
      </c>
      <c r="G1205" s="9">
        <v>170.2</v>
      </c>
      <c r="H1205" s="6">
        <v>1</v>
      </c>
      <c r="I1205" s="9">
        <v>170.2</v>
      </c>
    </row>
    <row r="1206" spans="1:9" ht="14.25">
      <c r="A1206" s="6">
        <v>1202</v>
      </c>
      <c r="B1206" s="7" t="s">
        <v>74</v>
      </c>
      <c r="C1206" s="6" t="s">
        <v>520</v>
      </c>
      <c r="D1206" s="7" t="s">
        <v>1541</v>
      </c>
      <c r="E1206" s="7" t="s">
        <v>544</v>
      </c>
      <c r="F1206" s="12">
        <v>45287</v>
      </c>
      <c r="G1206" s="9">
        <v>1860</v>
      </c>
      <c r="H1206" s="6">
        <v>1</v>
      </c>
      <c r="I1206" s="9">
        <v>1860</v>
      </c>
    </row>
    <row r="1207" spans="1:9" ht="14.25">
      <c r="A1207" s="6">
        <v>1203</v>
      </c>
      <c r="B1207" s="7" t="s">
        <v>74</v>
      </c>
      <c r="C1207" s="6" t="s">
        <v>520</v>
      </c>
      <c r="D1207" s="7" t="s">
        <v>1542</v>
      </c>
      <c r="E1207" s="7" t="s">
        <v>522</v>
      </c>
      <c r="F1207" s="12">
        <v>45170</v>
      </c>
      <c r="G1207" s="9">
        <v>730</v>
      </c>
      <c r="H1207" s="6">
        <v>1</v>
      </c>
      <c r="I1207" s="9">
        <v>730</v>
      </c>
    </row>
    <row r="1208" spans="1:9" ht="14.25">
      <c r="A1208" s="6">
        <v>1204</v>
      </c>
      <c r="B1208" s="7" t="s">
        <v>74</v>
      </c>
      <c r="C1208" s="6" t="s">
        <v>520</v>
      </c>
      <c r="D1208" s="7" t="s">
        <v>1543</v>
      </c>
      <c r="E1208" s="7" t="s">
        <v>522</v>
      </c>
      <c r="F1208" s="12">
        <v>45656</v>
      </c>
      <c r="G1208" s="9">
        <v>2650</v>
      </c>
      <c r="H1208" s="6">
        <v>1</v>
      </c>
      <c r="I1208" s="9">
        <v>2650</v>
      </c>
    </row>
    <row r="1209" spans="1:9" ht="14.25">
      <c r="A1209" s="6">
        <v>1205</v>
      </c>
      <c r="B1209" s="7" t="s">
        <v>74</v>
      </c>
      <c r="C1209" s="6" t="s">
        <v>520</v>
      </c>
      <c r="D1209" s="7" t="s">
        <v>812</v>
      </c>
      <c r="E1209" s="7" t="s">
        <v>522</v>
      </c>
      <c r="F1209" s="12">
        <v>45443</v>
      </c>
      <c r="G1209" s="9">
        <v>1060</v>
      </c>
      <c r="H1209" s="6">
        <v>2</v>
      </c>
      <c r="I1209" s="9">
        <v>530</v>
      </c>
    </row>
    <row r="1210" spans="1:9" ht="14.25">
      <c r="A1210" s="6">
        <v>1206</v>
      </c>
      <c r="B1210" s="7" t="s">
        <v>350</v>
      </c>
      <c r="C1210" s="6" t="s">
        <v>520</v>
      </c>
      <c r="D1210" s="7" t="s">
        <v>1544</v>
      </c>
      <c r="E1210" s="7" t="s">
        <v>522</v>
      </c>
      <c r="F1210" s="12">
        <v>44728</v>
      </c>
      <c r="G1210" s="9">
        <v>410</v>
      </c>
      <c r="H1210" s="6">
        <v>1</v>
      </c>
      <c r="I1210" s="9">
        <v>410</v>
      </c>
    </row>
    <row r="1211" spans="1:9" ht="14.25">
      <c r="A1211" s="6">
        <v>1207</v>
      </c>
      <c r="B1211" s="7" t="s">
        <v>18</v>
      </c>
      <c r="C1211" s="6" t="s">
        <v>520</v>
      </c>
      <c r="D1211" s="7" t="s">
        <v>1545</v>
      </c>
      <c r="E1211" s="7" t="s">
        <v>522</v>
      </c>
      <c r="F1211" s="12">
        <v>40574</v>
      </c>
      <c r="G1211" s="9">
        <v>11034</v>
      </c>
      <c r="H1211" s="6">
        <v>1</v>
      </c>
      <c r="I1211" s="9">
        <v>11034</v>
      </c>
    </row>
    <row r="1212" spans="1:9" ht="14.25">
      <c r="A1212" s="6">
        <v>1208</v>
      </c>
      <c r="B1212" s="7" t="s">
        <v>18</v>
      </c>
      <c r="C1212" s="6" t="s">
        <v>520</v>
      </c>
      <c r="D1212" s="7" t="s">
        <v>1546</v>
      </c>
      <c r="E1212" s="7" t="s">
        <v>522</v>
      </c>
      <c r="F1212" s="12">
        <v>41977</v>
      </c>
      <c r="G1212" s="9">
        <v>18128</v>
      </c>
      <c r="H1212" s="6">
        <v>1</v>
      </c>
      <c r="I1212" s="9">
        <v>18128</v>
      </c>
    </row>
    <row r="1213" spans="1:9" ht="14.25">
      <c r="A1213" s="6">
        <v>1209</v>
      </c>
      <c r="B1213" s="7" t="s">
        <v>18</v>
      </c>
      <c r="C1213" s="6" t="s">
        <v>520</v>
      </c>
      <c r="D1213" s="7" t="s">
        <v>1547</v>
      </c>
      <c r="E1213" s="7" t="s">
        <v>522</v>
      </c>
      <c r="F1213" s="12">
        <v>42101</v>
      </c>
      <c r="G1213" s="9">
        <v>3278</v>
      </c>
      <c r="H1213" s="6">
        <v>1</v>
      </c>
      <c r="I1213" s="9">
        <v>3278</v>
      </c>
    </row>
    <row r="1214" spans="1:9" ht="14.25">
      <c r="A1214" s="6">
        <v>1210</v>
      </c>
      <c r="B1214" s="7" t="s">
        <v>18</v>
      </c>
      <c r="C1214" s="6" t="s">
        <v>520</v>
      </c>
      <c r="D1214" s="7" t="s">
        <v>1548</v>
      </c>
      <c r="E1214" s="7" t="s">
        <v>522</v>
      </c>
      <c r="F1214" s="12">
        <v>42101</v>
      </c>
      <c r="G1214" s="9">
        <v>5337</v>
      </c>
      <c r="H1214" s="6">
        <v>1</v>
      </c>
      <c r="I1214" s="9">
        <v>5337</v>
      </c>
    </row>
    <row r="1215" spans="1:9" ht="14.25">
      <c r="A1215" s="6">
        <v>1211</v>
      </c>
      <c r="B1215" s="7" t="s">
        <v>18</v>
      </c>
      <c r="C1215" s="6" t="s">
        <v>520</v>
      </c>
      <c r="D1215" s="7" t="s">
        <v>1549</v>
      </c>
      <c r="E1215" s="7" t="s">
        <v>522</v>
      </c>
      <c r="F1215" s="12">
        <v>42101</v>
      </c>
      <c r="G1215" s="9">
        <v>2061</v>
      </c>
      <c r="H1215" s="6">
        <v>1</v>
      </c>
      <c r="I1215" s="9">
        <v>2061</v>
      </c>
    </row>
    <row r="1216" spans="1:9" ht="14.25">
      <c r="A1216" s="6">
        <v>1212</v>
      </c>
      <c r="B1216" s="7" t="s">
        <v>18</v>
      </c>
      <c r="C1216" s="6" t="s">
        <v>520</v>
      </c>
      <c r="D1216" s="7" t="s">
        <v>1550</v>
      </c>
      <c r="E1216" s="7" t="s">
        <v>522</v>
      </c>
      <c r="F1216" s="12">
        <v>43374</v>
      </c>
      <c r="G1216" s="9">
        <v>29334</v>
      </c>
      <c r="H1216" s="6">
        <v>1</v>
      </c>
      <c r="I1216" s="9">
        <v>29334</v>
      </c>
    </row>
    <row r="1217" spans="1:9" ht="14.25">
      <c r="A1217" s="6">
        <v>1213</v>
      </c>
      <c r="B1217" s="7" t="s">
        <v>18</v>
      </c>
      <c r="C1217" s="6" t="s">
        <v>520</v>
      </c>
      <c r="D1217" s="7" t="s">
        <v>1551</v>
      </c>
      <c r="E1217" s="7" t="s">
        <v>522</v>
      </c>
      <c r="F1217" s="12">
        <v>43440</v>
      </c>
      <c r="G1217" s="9">
        <v>9736</v>
      </c>
      <c r="H1217" s="6">
        <v>1</v>
      </c>
      <c r="I1217" s="9">
        <v>9736</v>
      </c>
    </row>
    <row r="1218" spans="1:9" ht="14.25">
      <c r="A1218" s="6">
        <v>1214</v>
      </c>
      <c r="B1218" s="7" t="s">
        <v>18</v>
      </c>
      <c r="C1218" s="6" t="s">
        <v>520</v>
      </c>
      <c r="D1218" s="7" t="s">
        <v>1552</v>
      </c>
      <c r="E1218" s="7" t="s">
        <v>522</v>
      </c>
      <c r="F1218" s="12">
        <v>43444</v>
      </c>
      <c r="G1218" s="9">
        <v>5984</v>
      </c>
      <c r="H1218" s="6">
        <v>1</v>
      </c>
      <c r="I1218" s="9">
        <v>5984</v>
      </c>
    </row>
    <row r="1219" spans="1:9" ht="14.25">
      <c r="A1219" s="6">
        <v>1215</v>
      </c>
      <c r="B1219" s="7" t="s">
        <v>18</v>
      </c>
      <c r="C1219" s="6" t="s">
        <v>520</v>
      </c>
      <c r="D1219" s="7" t="s">
        <v>1553</v>
      </c>
      <c r="E1219" s="7" t="s">
        <v>522</v>
      </c>
      <c r="F1219" s="12">
        <v>43446</v>
      </c>
      <c r="G1219" s="9">
        <v>1513</v>
      </c>
      <c r="H1219" s="6">
        <v>1</v>
      </c>
      <c r="I1219" s="9">
        <v>1513</v>
      </c>
    </row>
    <row r="1220" spans="1:9" ht="14.25">
      <c r="A1220" s="6">
        <v>1216</v>
      </c>
      <c r="B1220" s="7" t="s">
        <v>18</v>
      </c>
      <c r="C1220" s="6" t="s">
        <v>520</v>
      </c>
      <c r="D1220" s="7" t="s">
        <v>1554</v>
      </c>
      <c r="E1220" s="7" t="s">
        <v>522</v>
      </c>
      <c r="F1220" s="12">
        <v>44126</v>
      </c>
      <c r="G1220" s="9">
        <v>6955</v>
      </c>
      <c r="H1220" s="6">
        <v>1</v>
      </c>
      <c r="I1220" s="9">
        <v>6955</v>
      </c>
    </row>
    <row r="1221" spans="1:9" ht="14.25">
      <c r="A1221" s="6">
        <v>1217</v>
      </c>
      <c r="B1221" s="7" t="s">
        <v>18</v>
      </c>
      <c r="C1221" s="6" t="s">
        <v>520</v>
      </c>
      <c r="D1221" s="7" t="s">
        <v>1514</v>
      </c>
      <c r="E1221" s="7" t="s">
        <v>522</v>
      </c>
      <c r="F1221" s="12">
        <v>44141</v>
      </c>
      <c r="G1221" s="9">
        <v>3675</v>
      </c>
      <c r="H1221" s="6">
        <v>2</v>
      </c>
      <c r="I1221" s="9">
        <v>1837.5</v>
      </c>
    </row>
    <row r="1222" spans="1:9" ht="14.25">
      <c r="A1222" s="6">
        <v>1218</v>
      </c>
      <c r="B1222" s="7" t="s">
        <v>18</v>
      </c>
      <c r="C1222" s="6" t="s">
        <v>520</v>
      </c>
      <c r="D1222" s="7" t="s">
        <v>1555</v>
      </c>
      <c r="E1222" s="7" t="s">
        <v>522</v>
      </c>
      <c r="F1222" s="12">
        <v>44882</v>
      </c>
      <c r="G1222" s="9">
        <v>5624</v>
      </c>
      <c r="H1222" s="6">
        <v>1</v>
      </c>
      <c r="I1222" s="9">
        <v>5624</v>
      </c>
    </row>
    <row r="1223" spans="1:9" ht="14.25">
      <c r="A1223" s="6">
        <v>1219</v>
      </c>
      <c r="B1223" s="7" t="s">
        <v>18</v>
      </c>
      <c r="C1223" s="6" t="s">
        <v>520</v>
      </c>
      <c r="D1223" s="7" t="s">
        <v>1556</v>
      </c>
      <c r="E1223" s="7" t="s">
        <v>522</v>
      </c>
      <c r="F1223" s="12">
        <v>44722</v>
      </c>
      <c r="G1223" s="9">
        <v>14684</v>
      </c>
      <c r="H1223" s="6">
        <v>1</v>
      </c>
      <c r="I1223" s="9">
        <v>14684</v>
      </c>
    </row>
    <row r="1224" spans="1:9" ht="14.25">
      <c r="A1224" s="6">
        <v>1220</v>
      </c>
      <c r="B1224" s="7" t="s">
        <v>18</v>
      </c>
      <c r="C1224" s="6" t="s">
        <v>520</v>
      </c>
      <c r="D1224" s="7" t="s">
        <v>1557</v>
      </c>
      <c r="E1224" s="7" t="s">
        <v>522</v>
      </c>
      <c r="F1224" s="12">
        <v>45078</v>
      </c>
      <c r="G1224" s="9">
        <v>26844</v>
      </c>
      <c r="H1224" s="6">
        <v>1</v>
      </c>
      <c r="I1224" s="9">
        <v>26844</v>
      </c>
    </row>
    <row r="1225" spans="1:9" ht="14.25">
      <c r="A1225" s="6">
        <v>1221</v>
      </c>
      <c r="B1225" s="7" t="s">
        <v>18</v>
      </c>
      <c r="C1225" s="6" t="s">
        <v>520</v>
      </c>
      <c r="D1225" s="7" t="s">
        <v>1558</v>
      </c>
      <c r="E1225" s="7" t="s">
        <v>522</v>
      </c>
      <c r="F1225" s="12">
        <v>45078</v>
      </c>
      <c r="G1225" s="9">
        <v>8950</v>
      </c>
      <c r="H1225" s="6">
        <v>1</v>
      </c>
      <c r="I1225" s="9">
        <v>8950</v>
      </c>
    </row>
    <row r="1226" spans="1:9" ht="14.25">
      <c r="A1226" s="6">
        <v>1222</v>
      </c>
      <c r="B1226" s="7" t="s">
        <v>18</v>
      </c>
      <c r="C1226" s="6" t="s">
        <v>520</v>
      </c>
      <c r="D1226" s="7" t="s">
        <v>1559</v>
      </c>
      <c r="E1226" s="7" t="s">
        <v>522</v>
      </c>
      <c r="F1226" s="12">
        <v>45071</v>
      </c>
      <c r="G1226" s="9">
        <v>7186</v>
      </c>
      <c r="H1226" s="6">
        <v>1</v>
      </c>
      <c r="I1226" s="9">
        <v>7186</v>
      </c>
    </row>
    <row r="1227" spans="1:9" ht="14.25">
      <c r="A1227" s="6">
        <v>1223</v>
      </c>
      <c r="B1227" s="7" t="s">
        <v>18</v>
      </c>
      <c r="C1227" s="6" t="s">
        <v>520</v>
      </c>
      <c r="D1227" s="7" t="s">
        <v>1560</v>
      </c>
      <c r="E1227" s="7" t="s">
        <v>522</v>
      </c>
      <c r="F1227" s="12">
        <v>45071</v>
      </c>
      <c r="G1227" s="9">
        <v>2395</v>
      </c>
      <c r="H1227" s="6">
        <v>1</v>
      </c>
      <c r="I1227" s="9">
        <v>2395</v>
      </c>
    </row>
    <row r="1228" spans="1:9" ht="14.25">
      <c r="A1228" s="6">
        <v>1224</v>
      </c>
      <c r="B1228" s="7" t="s">
        <v>18</v>
      </c>
      <c r="C1228" s="6" t="s">
        <v>520</v>
      </c>
      <c r="D1228" s="7" t="s">
        <v>1561</v>
      </c>
      <c r="E1228" s="7" t="s">
        <v>522</v>
      </c>
      <c r="F1228" s="12">
        <v>45329</v>
      </c>
      <c r="G1228" s="9">
        <v>2023</v>
      </c>
      <c r="H1228" s="6">
        <v>1</v>
      </c>
      <c r="I1228" s="9">
        <v>2023</v>
      </c>
    </row>
    <row r="1229" spans="1:9" ht="14.25">
      <c r="A1229" s="6">
        <v>1225</v>
      </c>
      <c r="B1229" s="7" t="s">
        <v>329</v>
      </c>
      <c r="C1229" s="6" t="s">
        <v>536</v>
      </c>
      <c r="D1229" s="7" t="s">
        <v>1538</v>
      </c>
      <c r="E1229" s="7" t="s">
        <v>522</v>
      </c>
      <c r="F1229" s="12">
        <v>44369</v>
      </c>
      <c r="G1229" s="9">
        <v>1030</v>
      </c>
      <c r="H1229" s="6">
        <v>2</v>
      </c>
      <c r="I1229" s="9">
        <v>515</v>
      </c>
    </row>
    <row r="1230" spans="1:9" ht="14.25">
      <c r="A1230" s="6">
        <v>1226</v>
      </c>
      <c r="B1230" s="7" t="s">
        <v>96</v>
      </c>
      <c r="C1230" s="6" t="s">
        <v>520</v>
      </c>
      <c r="D1230" s="7" t="s">
        <v>1341</v>
      </c>
      <c r="E1230" s="7" t="s">
        <v>522</v>
      </c>
      <c r="F1230" s="12">
        <v>44365</v>
      </c>
      <c r="G1230" s="9">
        <v>1100</v>
      </c>
      <c r="H1230" s="6">
        <v>2</v>
      </c>
      <c r="I1230" s="9">
        <v>550</v>
      </c>
    </row>
    <row r="1231" spans="1:9" ht="14.25">
      <c r="A1231" s="6">
        <v>1227</v>
      </c>
      <c r="B1231" s="7" t="s">
        <v>96</v>
      </c>
      <c r="C1231" s="6" t="s">
        <v>520</v>
      </c>
      <c r="D1231" s="7" t="s">
        <v>1562</v>
      </c>
      <c r="E1231" s="7" t="s">
        <v>522</v>
      </c>
      <c r="F1231" s="12">
        <v>44643</v>
      </c>
      <c r="G1231" s="9">
        <v>3150</v>
      </c>
      <c r="H1231" s="6">
        <v>1</v>
      </c>
      <c r="I1231" s="9">
        <v>3150</v>
      </c>
    </row>
    <row r="1232" spans="1:9" ht="14.25">
      <c r="A1232" s="6">
        <v>1228</v>
      </c>
      <c r="B1232" s="7" t="s">
        <v>213</v>
      </c>
      <c r="C1232" s="6" t="s">
        <v>536</v>
      </c>
      <c r="D1232" s="7" t="s">
        <v>998</v>
      </c>
      <c r="E1232" s="7" t="s">
        <v>522</v>
      </c>
      <c r="F1232" s="12">
        <v>44232</v>
      </c>
      <c r="G1232" s="9">
        <v>81.599999999999994</v>
      </c>
      <c r="H1232" s="6">
        <v>2</v>
      </c>
      <c r="I1232" s="9">
        <v>40.799999999999997</v>
      </c>
    </row>
    <row r="1233" spans="1:9" ht="14.25">
      <c r="A1233" s="6">
        <v>1229</v>
      </c>
      <c r="B1233" s="7" t="s">
        <v>213</v>
      </c>
      <c r="C1233" s="6" t="s">
        <v>520</v>
      </c>
      <c r="D1233" s="7" t="s">
        <v>1563</v>
      </c>
      <c r="E1233" s="7" t="s">
        <v>522</v>
      </c>
      <c r="F1233" s="12">
        <v>44329</v>
      </c>
      <c r="G1233" s="9">
        <v>301</v>
      </c>
      <c r="H1233" s="6">
        <v>1</v>
      </c>
      <c r="I1233" s="9">
        <v>301</v>
      </c>
    </row>
    <row r="1234" spans="1:9" ht="14.25">
      <c r="A1234" s="6">
        <v>1230</v>
      </c>
      <c r="B1234" s="7" t="s">
        <v>213</v>
      </c>
      <c r="C1234" s="6" t="s">
        <v>520</v>
      </c>
      <c r="D1234" s="7" t="s">
        <v>1564</v>
      </c>
      <c r="E1234" s="7" t="s">
        <v>522</v>
      </c>
      <c r="F1234" s="12">
        <v>45187</v>
      </c>
      <c r="G1234" s="9">
        <v>853</v>
      </c>
      <c r="H1234" s="6">
        <v>1</v>
      </c>
      <c r="I1234" s="9">
        <v>853</v>
      </c>
    </row>
    <row r="1235" spans="1:9" ht="14.25">
      <c r="A1235" s="6">
        <v>1231</v>
      </c>
      <c r="B1235" s="7" t="s">
        <v>213</v>
      </c>
      <c r="C1235" s="6" t="s">
        <v>520</v>
      </c>
      <c r="D1235" s="7" t="s">
        <v>1565</v>
      </c>
      <c r="E1235" s="7" t="s">
        <v>522</v>
      </c>
      <c r="F1235" s="12">
        <v>45294</v>
      </c>
      <c r="G1235" s="9">
        <v>1070</v>
      </c>
      <c r="H1235" s="6">
        <v>1</v>
      </c>
      <c r="I1235" s="9">
        <v>1070</v>
      </c>
    </row>
    <row r="1236" spans="1:9" ht="14.25">
      <c r="A1236" s="6">
        <v>1232</v>
      </c>
      <c r="B1236" s="7" t="s">
        <v>494</v>
      </c>
      <c r="C1236" s="6" t="s">
        <v>520</v>
      </c>
      <c r="D1236" s="7" t="s">
        <v>1189</v>
      </c>
      <c r="E1236" s="7" t="s">
        <v>522</v>
      </c>
      <c r="F1236" s="12">
        <v>44489</v>
      </c>
      <c r="G1236" s="9">
        <v>101</v>
      </c>
      <c r="H1236" s="6">
        <v>2</v>
      </c>
      <c r="I1236" s="9">
        <v>50.5</v>
      </c>
    </row>
    <row r="1237" spans="1:9" ht="14.25">
      <c r="A1237" s="6">
        <v>1233</v>
      </c>
      <c r="B1237" s="7" t="s">
        <v>370</v>
      </c>
      <c r="C1237" s="6" t="s">
        <v>520</v>
      </c>
      <c r="D1237" s="7" t="s">
        <v>1566</v>
      </c>
      <c r="E1237" s="7" t="s">
        <v>522</v>
      </c>
      <c r="F1237" s="12">
        <v>44483</v>
      </c>
      <c r="G1237" s="9">
        <v>301.5</v>
      </c>
      <c r="H1237" s="6">
        <v>1</v>
      </c>
      <c r="I1237" s="9">
        <v>301.5</v>
      </c>
    </row>
    <row r="1238" spans="1:9" ht="14.25">
      <c r="A1238" s="6">
        <v>1234</v>
      </c>
      <c r="B1238" s="7" t="s">
        <v>289</v>
      </c>
      <c r="C1238" s="6" t="s">
        <v>536</v>
      </c>
      <c r="D1238" s="7" t="s">
        <v>911</v>
      </c>
      <c r="E1238" s="7" t="s">
        <v>522</v>
      </c>
      <c r="F1238" s="12">
        <v>42965</v>
      </c>
      <c r="G1238" s="9">
        <v>1394.2</v>
      </c>
      <c r="H1238" s="6">
        <v>2</v>
      </c>
      <c r="I1238" s="9">
        <v>697.1</v>
      </c>
    </row>
    <row r="1239" spans="1:9" ht="14.25">
      <c r="A1239" s="6">
        <v>1235</v>
      </c>
      <c r="B1239" s="7" t="s">
        <v>289</v>
      </c>
      <c r="C1239" s="6" t="s">
        <v>1198</v>
      </c>
      <c r="D1239" s="7" t="s">
        <v>914</v>
      </c>
      <c r="E1239" s="7" t="s">
        <v>522</v>
      </c>
      <c r="F1239" s="12">
        <v>43404</v>
      </c>
      <c r="G1239" s="9">
        <v>337</v>
      </c>
      <c r="H1239" s="6">
        <v>3</v>
      </c>
      <c r="I1239" s="9">
        <v>112.3</v>
      </c>
    </row>
    <row r="1240" spans="1:9" ht="14.25">
      <c r="A1240" s="6">
        <v>1236</v>
      </c>
      <c r="B1240" s="7" t="s">
        <v>289</v>
      </c>
      <c r="C1240" s="6" t="s">
        <v>520</v>
      </c>
      <c r="D1240" s="7" t="s">
        <v>1567</v>
      </c>
      <c r="E1240" s="7" t="s">
        <v>528</v>
      </c>
      <c r="F1240" s="12">
        <v>44036</v>
      </c>
      <c r="G1240" s="9">
        <v>101.5</v>
      </c>
      <c r="H1240" s="6">
        <v>1</v>
      </c>
      <c r="I1240" s="9">
        <v>101.5</v>
      </c>
    </row>
    <row r="1241" spans="1:9" ht="14.25">
      <c r="A1241" s="6">
        <v>1237</v>
      </c>
      <c r="B1241" s="7" t="s">
        <v>289</v>
      </c>
      <c r="C1241" s="6" t="s">
        <v>536</v>
      </c>
      <c r="D1241" s="7" t="s">
        <v>1359</v>
      </c>
      <c r="E1241" s="7" t="s">
        <v>544</v>
      </c>
      <c r="F1241" s="12">
        <v>44169</v>
      </c>
      <c r="G1241" s="9">
        <v>1000</v>
      </c>
      <c r="H1241" s="6">
        <v>2</v>
      </c>
      <c r="I1241" s="9">
        <v>500</v>
      </c>
    </row>
    <row r="1242" spans="1:9" ht="14.25">
      <c r="A1242" s="6">
        <v>1238</v>
      </c>
      <c r="B1242" s="7" t="s">
        <v>289</v>
      </c>
      <c r="C1242" s="6" t="s">
        <v>520</v>
      </c>
      <c r="D1242" s="7" t="s">
        <v>1568</v>
      </c>
      <c r="E1242" s="7" t="s">
        <v>522</v>
      </c>
      <c r="F1242" s="12">
        <v>44663</v>
      </c>
      <c r="G1242" s="9">
        <v>221.5</v>
      </c>
      <c r="H1242" s="6">
        <v>1</v>
      </c>
      <c r="I1242" s="9">
        <v>221.5</v>
      </c>
    </row>
    <row r="1243" spans="1:9" ht="14.25">
      <c r="A1243" s="6">
        <v>1239</v>
      </c>
      <c r="B1243" s="7" t="s">
        <v>289</v>
      </c>
      <c r="C1243" s="6" t="s">
        <v>536</v>
      </c>
      <c r="D1243" s="7" t="s">
        <v>785</v>
      </c>
      <c r="E1243" s="7" t="s">
        <v>522</v>
      </c>
      <c r="F1243" s="12">
        <v>45456</v>
      </c>
      <c r="G1243" s="9">
        <v>880</v>
      </c>
      <c r="H1243" s="6">
        <v>2</v>
      </c>
      <c r="I1243" s="9">
        <v>440</v>
      </c>
    </row>
    <row r="1244" spans="1:9" ht="14.25">
      <c r="A1244" s="6">
        <v>1240</v>
      </c>
      <c r="B1244" s="7" t="s">
        <v>491</v>
      </c>
      <c r="C1244" s="6" t="s">
        <v>536</v>
      </c>
      <c r="D1244" s="7" t="s">
        <v>1477</v>
      </c>
      <c r="E1244" s="7" t="s">
        <v>528</v>
      </c>
      <c r="F1244" s="12">
        <v>45414</v>
      </c>
      <c r="G1244" s="9">
        <v>102</v>
      </c>
      <c r="H1244" s="6">
        <v>2</v>
      </c>
      <c r="I1244" s="9">
        <v>51</v>
      </c>
    </row>
    <row r="1245" spans="1:9" ht="14.25">
      <c r="A1245" s="6">
        <v>1241</v>
      </c>
      <c r="B1245" s="7" t="s">
        <v>390</v>
      </c>
      <c r="C1245" s="6" t="s">
        <v>520</v>
      </c>
      <c r="D1245" s="7" t="s">
        <v>717</v>
      </c>
      <c r="E1245" s="7" t="s">
        <v>544</v>
      </c>
      <c r="F1245" s="12">
        <v>44552</v>
      </c>
      <c r="G1245" s="9">
        <v>492.5</v>
      </c>
      <c r="H1245" s="6">
        <v>2</v>
      </c>
      <c r="I1245" s="9">
        <v>246.2</v>
      </c>
    </row>
  </sheetData>
  <autoFilter ref="A4:I1245" xr:uid="{00000000-0009-0000-0000-000001000000}"/>
  <mergeCells count="2">
    <mergeCell ref="A1:I1"/>
    <mergeCell ref="A2:I2"/>
  </mergeCells>
  <phoneticPr fontId="13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361"/>
  <sheetViews>
    <sheetView zoomScaleNormal="100" workbookViewId="0">
      <pane ySplit="3" topLeftCell="A4" activePane="bottomLeft" state="frozen"/>
      <selection pane="bottomLeft"/>
    </sheetView>
  </sheetViews>
  <sheetFormatPr defaultColWidth="8.6640625" defaultRowHeight="15" customHeight="1"/>
  <cols>
    <col min="1" max="1" width="6" customWidth="1"/>
    <col min="2" max="2" width="35" customWidth="1"/>
    <col min="3" max="4" width="15" customWidth="1"/>
    <col min="5" max="18" width="9" customWidth="1"/>
  </cols>
  <sheetData>
    <row r="1" spans="1:18" ht="17.649999999999999">
      <c r="A1" s="3" t="s">
        <v>1569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3" spans="1:18" ht="14.25">
      <c r="A3" s="4" t="s">
        <v>3</v>
      </c>
      <c r="B3" s="4" t="s">
        <v>4</v>
      </c>
      <c r="C3" s="5" t="s">
        <v>1570</v>
      </c>
      <c r="D3" s="5" t="s">
        <v>1571</v>
      </c>
      <c r="E3" s="4" t="s">
        <v>1572</v>
      </c>
      <c r="F3" s="4" t="s">
        <v>1573</v>
      </c>
      <c r="G3" s="4" t="s">
        <v>1574</v>
      </c>
      <c r="H3" s="4" t="s">
        <v>1575</v>
      </c>
      <c r="I3" s="4" t="s">
        <v>1576</v>
      </c>
      <c r="J3" s="4" t="s">
        <v>1577</v>
      </c>
      <c r="K3" s="4" t="s">
        <v>1578</v>
      </c>
      <c r="L3" s="4" t="s">
        <v>1579</v>
      </c>
      <c r="M3" s="4" t="s">
        <v>1580</v>
      </c>
      <c r="N3" s="4" t="s">
        <v>1581</v>
      </c>
      <c r="O3" s="4" t="s">
        <v>1582</v>
      </c>
      <c r="P3" s="4" t="s">
        <v>1583</v>
      </c>
      <c r="Q3" s="4" t="s">
        <v>1584</v>
      </c>
      <c r="R3" s="4" t="s">
        <v>1585</v>
      </c>
    </row>
    <row r="4" spans="1:18" ht="14.25">
      <c r="A4" s="6">
        <v>1</v>
      </c>
      <c r="B4" s="7" t="s">
        <v>16</v>
      </c>
      <c r="C4" s="8">
        <v>169.2</v>
      </c>
      <c r="D4" s="8">
        <v>45350</v>
      </c>
      <c r="E4" s="14" t="s">
        <v>1586</v>
      </c>
      <c r="F4" s="14" t="s">
        <v>1586</v>
      </c>
      <c r="G4" s="15">
        <v>2</v>
      </c>
      <c r="H4" s="14" t="s">
        <v>1586</v>
      </c>
      <c r="I4" s="14" t="s">
        <v>1586</v>
      </c>
      <c r="J4" s="14" t="s">
        <v>1586</v>
      </c>
      <c r="K4" s="15">
        <v>1</v>
      </c>
      <c r="L4" s="14" t="s">
        <v>1586</v>
      </c>
      <c r="M4" s="15">
        <v>2</v>
      </c>
      <c r="N4" s="15">
        <v>1</v>
      </c>
      <c r="O4" s="14" t="s">
        <v>1586</v>
      </c>
      <c r="P4" s="14" t="s">
        <v>1586</v>
      </c>
      <c r="Q4" s="15">
        <v>9</v>
      </c>
      <c r="R4" s="15">
        <v>4</v>
      </c>
    </row>
    <row r="5" spans="1:18" ht="14.25">
      <c r="A5" s="6">
        <v>2</v>
      </c>
      <c r="B5" s="7" t="s">
        <v>18</v>
      </c>
      <c r="C5" s="8">
        <v>1513</v>
      </c>
      <c r="D5" s="8">
        <v>29334</v>
      </c>
      <c r="E5" s="14" t="s">
        <v>1586</v>
      </c>
      <c r="F5" s="15">
        <v>1</v>
      </c>
      <c r="G5" s="14" t="s">
        <v>1586</v>
      </c>
      <c r="H5" s="15">
        <v>1</v>
      </c>
      <c r="I5" s="15">
        <v>3</v>
      </c>
      <c r="J5" s="14" t="s">
        <v>1586</v>
      </c>
      <c r="K5" s="14" t="s">
        <v>1586</v>
      </c>
      <c r="L5" s="15">
        <v>4</v>
      </c>
      <c r="M5" s="14" t="s">
        <v>1586</v>
      </c>
      <c r="N5" s="15">
        <v>2</v>
      </c>
      <c r="O5" s="14" t="s">
        <v>1586</v>
      </c>
      <c r="P5" s="15">
        <v>2</v>
      </c>
      <c r="Q5" s="15">
        <v>4</v>
      </c>
      <c r="R5" s="15">
        <v>1</v>
      </c>
    </row>
    <row r="6" spans="1:18" ht="14.25">
      <c r="A6" s="6">
        <v>3</v>
      </c>
      <c r="B6" s="7" t="s">
        <v>20</v>
      </c>
      <c r="C6" s="8">
        <v>151</v>
      </c>
      <c r="D6" s="8">
        <v>19523</v>
      </c>
      <c r="E6" s="14" t="s">
        <v>1586</v>
      </c>
      <c r="F6" s="14" t="s">
        <v>1586</v>
      </c>
      <c r="G6" s="14" t="s">
        <v>1586</v>
      </c>
      <c r="H6" s="14" t="s">
        <v>1586</v>
      </c>
      <c r="I6" s="15">
        <v>3</v>
      </c>
      <c r="J6" s="15">
        <v>2</v>
      </c>
      <c r="K6" s="15">
        <v>1</v>
      </c>
      <c r="L6" s="14" t="s">
        <v>1586</v>
      </c>
      <c r="M6" s="15">
        <v>7</v>
      </c>
      <c r="N6" s="14" t="s">
        <v>1586</v>
      </c>
      <c r="O6" s="15">
        <v>3</v>
      </c>
      <c r="P6" s="15">
        <v>2</v>
      </c>
      <c r="Q6" s="14" t="s">
        <v>1586</v>
      </c>
      <c r="R6" s="15">
        <v>3</v>
      </c>
    </row>
    <row r="7" spans="1:18" ht="14.25">
      <c r="A7" s="6">
        <v>4</v>
      </c>
      <c r="B7" s="7" t="s">
        <v>22</v>
      </c>
      <c r="C7" s="8">
        <v>501.1</v>
      </c>
      <c r="D7" s="8">
        <v>17200</v>
      </c>
      <c r="E7" s="14" t="s">
        <v>1586</v>
      </c>
      <c r="F7" s="14" t="s">
        <v>1586</v>
      </c>
      <c r="G7" s="14" t="s">
        <v>1586</v>
      </c>
      <c r="H7" s="14" t="s">
        <v>1586</v>
      </c>
      <c r="I7" s="14" t="s">
        <v>1586</v>
      </c>
      <c r="J7" s="14" t="s">
        <v>1586</v>
      </c>
      <c r="K7" s="14" t="s">
        <v>1586</v>
      </c>
      <c r="L7" s="15">
        <v>1</v>
      </c>
      <c r="M7" s="15">
        <v>1</v>
      </c>
      <c r="N7" s="14" t="s">
        <v>1586</v>
      </c>
      <c r="O7" s="15">
        <v>4</v>
      </c>
      <c r="P7" s="15">
        <v>1</v>
      </c>
      <c r="Q7" s="15">
        <v>5</v>
      </c>
      <c r="R7" s="15">
        <v>2</v>
      </c>
    </row>
    <row r="8" spans="1:18" ht="14.25">
      <c r="A8" s="6">
        <v>5</v>
      </c>
      <c r="B8" s="7" t="s">
        <v>24</v>
      </c>
      <c r="C8" s="8">
        <v>104</v>
      </c>
      <c r="D8" s="8">
        <v>14000</v>
      </c>
      <c r="E8" s="14" t="s">
        <v>1586</v>
      </c>
      <c r="F8" s="15">
        <v>1</v>
      </c>
      <c r="G8" s="14" t="s">
        <v>1586</v>
      </c>
      <c r="H8" s="14" t="s">
        <v>1586</v>
      </c>
      <c r="I8" s="14" t="s">
        <v>1586</v>
      </c>
      <c r="J8" s="15">
        <v>1</v>
      </c>
      <c r="K8" s="15">
        <v>2</v>
      </c>
      <c r="L8" s="15">
        <v>2</v>
      </c>
      <c r="M8" s="15">
        <v>3</v>
      </c>
      <c r="N8" s="15">
        <v>1</v>
      </c>
      <c r="O8" s="15">
        <v>2</v>
      </c>
      <c r="P8" s="15">
        <v>1</v>
      </c>
      <c r="Q8" s="15">
        <v>5</v>
      </c>
      <c r="R8" s="15">
        <v>6</v>
      </c>
    </row>
    <row r="9" spans="1:18" ht="14.25">
      <c r="A9" s="6">
        <v>6</v>
      </c>
      <c r="B9" s="7" t="s">
        <v>26</v>
      </c>
      <c r="C9" s="8">
        <v>1888</v>
      </c>
      <c r="D9" s="8">
        <v>12245</v>
      </c>
      <c r="E9" s="14" t="s">
        <v>1586</v>
      </c>
      <c r="F9" s="14" t="s">
        <v>1586</v>
      </c>
      <c r="G9" s="14" t="s">
        <v>1586</v>
      </c>
      <c r="H9" s="14" t="s">
        <v>1586</v>
      </c>
      <c r="I9" s="14" t="s">
        <v>1586</v>
      </c>
      <c r="J9" s="14" t="s">
        <v>1586</v>
      </c>
      <c r="K9" s="14" t="s">
        <v>1586</v>
      </c>
      <c r="L9" s="14" t="s">
        <v>1586</v>
      </c>
      <c r="M9" s="14" t="s">
        <v>1586</v>
      </c>
      <c r="N9" s="15">
        <v>5</v>
      </c>
      <c r="O9" s="14" t="s">
        <v>1586</v>
      </c>
      <c r="P9" s="14" t="s">
        <v>1586</v>
      </c>
      <c r="Q9" s="15">
        <v>1</v>
      </c>
      <c r="R9" s="14" t="s">
        <v>1586</v>
      </c>
    </row>
    <row r="10" spans="1:18" ht="14.25">
      <c r="A10" s="6">
        <v>7</v>
      </c>
      <c r="B10" s="7" t="s">
        <v>28</v>
      </c>
      <c r="C10" s="8">
        <v>2120.5</v>
      </c>
      <c r="D10" s="8">
        <v>10840</v>
      </c>
      <c r="E10" s="14" t="s">
        <v>1586</v>
      </c>
      <c r="F10" s="14" t="s">
        <v>1586</v>
      </c>
      <c r="G10" s="14" t="s">
        <v>1586</v>
      </c>
      <c r="H10" s="14" t="s">
        <v>1586</v>
      </c>
      <c r="I10" s="14" t="s">
        <v>1586</v>
      </c>
      <c r="J10" s="14" t="s">
        <v>1586</v>
      </c>
      <c r="K10" s="14" t="s">
        <v>1586</v>
      </c>
      <c r="L10" s="14" t="s">
        <v>1586</v>
      </c>
      <c r="M10" s="15">
        <v>1</v>
      </c>
      <c r="N10" s="15">
        <v>1</v>
      </c>
      <c r="O10" s="14" t="s">
        <v>1586</v>
      </c>
      <c r="P10" s="15">
        <v>1</v>
      </c>
      <c r="Q10" s="15">
        <v>1</v>
      </c>
      <c r="R10" s="15">
        <v>1</v>
      </c>
    </row>
    <row r="11" spans="1:18" ht="14.25">
      <c r="A11" s="6">
        <v>8</v>
      </c>
      <c r="B11" s="7" t="s">
        <v>30</v>
      </c>
      <c r="C11" s="8">
        <v>112.3</v>
      </c>
      <c r="D11" s="8">
        <v>9608</v>
      </c>
      <c r="E11" s="14" t="s">
        <v>1586</v>
      </c>
      <c r="F11" s="14" t="s">
        <v>1586</v>
      </c>
      <c r="G11" s="14" t="s">
        <v>1586</v>
      </c>
      <c r="H11" s="15">
        <v>1</v>
      </c>
      <c r="I11" s="14" t="s">
        <v>1586</v>
      </c>
      <c r="J11" s="15">
        <v>4</v>
      </c>
      <c r="K11" s="15">
        <v>1</v>
      </c>
      <c r="L11" s="15">
        <v>4</v>
      </c>
      <c r="M11" s="15">
        <v>4</v>
      </c>
      <c r="N11" s="15">
        <v>1</v>
      </c>
      <c r="O11" s="15">
        <v>3</v>
      </c>
      <c r="P11" s="14" t="s">
        <v>1586</v>
      </c>
      <c r="Q11" s="15">
        <v>4</v>
      </c>
      <c r="R11" s="15">
        <v>6</v>
      </c>
    </row>
    <row r="12" spans="1:18" ht="14.25">
      <c r="A12" s="6">
        <v>9</v>
      </c>
      <c r="B12" s="7" t="s">
        <v>32</v>
      </c>
      <c r="C12" s="8">
        <v>1401</v>
      </c>
      <c r="D12" s="8">
        <v>8878</v>
      </c>
      <c r="E12" s="14" t="s">
        <v>1586</v>
      </c>
      <c r="F12" s="14" t="s">
        <v>1586</v>
      </c>
      <c r="G12" s="14" t="s">
        <v>1586</v>
      </c>
      <c r="H12" s="14" t="s">
        <v>1586</v>
      </c>
      <c r="I12" s="14" t="s">
        <v>1586</v>
      </c>
      <c r="J12" s="14" t="s">
        <v>1586</v>
      </c>
      <c r="K12" s="14" t="s">
        <v>1586</v>
      </c>
      <c r="L12" s="14" t="s">
        <v>1586</v>
      </c>
      <c r="M12" s="14" t="s">
        <v>1586</v>
      </c>
      <c r="N12" s="15">
        <v>1</v>
      </c>
      <c r="O12" s="14" t="s">
        <v>1586</v>
      </c>
      <c r="P12" s="14" t="s">
        <v>1586</v>
      </c>
      <c r="Q12" s="14" t="s">
        <v>1586</v>
      </c>
      <c r="R12" s="15">
        <v>1</v>
      </c>
    </row>
    <row r="13" spans="1:18" ht="14.25">
      <c r="A13" s="6">
        <v>10</v>
      </c>
      <c r="B13" s="7" t="s">
        <v>34</v>
      </c>
      <c r="C13" s="8">
        <v>600</v>
      </c>
      <c r="D13" s="8">
        <v>8726</v>
      </c>
      <c r="E13" s="14" t="s">
        <v>1586</v>
      </c>
      <c r="F13" s="14" t="s">
        <v>1586</v>
      </c>
      <c r="G13" s="14" t="s">
        <v>1586</v>
      </c>
      <c r="H13" s="14" t="s">
        <v>1586</v>
      </c>
      <c r="I13" s="14" t="s">
        <v>1586</v>
      </c>
      <c r="J13" s="14" t="s">
        <v>1586</v>
      </c>
      <c r="K13" s="14" t="s">
        <v>1586</v>
      </c>
      <c r="L13" s="14" t="s">
        <v>1586</v>
      </c>
      <c r="M13" s="15">
        <v>2</v>
      </c>
      <c r="N13" s="14" t="s">
        <v>1586</v>
      </c>
      <c r="O13" s="15">
        <v>1</v>
      </c>
      <c r="P13" s="14" t="s">
        <v>1586</v>
      </c>
      <c r="Q13" s="14" t="s">
        <v>1586</v>
      </c>
      <c r="R13" s="15">
        <v>1</v>
      </c>
    </row>
    <row r="14" spans="1:18" ht="14.25">
      <c r="A14" s="6">
        <v>11</v>
      </c>
      <c r="B14" s="7" t="s">
        <v>36</v>
      </c>
      <c r="C14" s="8">
        <v>413.3</v>
      </c>
      <c r="D14" s="8">
        <v>8287.7999999999993</v>
      </c>
      <c r="E14" s="15">
        <v>1</v>
      </c>
      <c r="F14" s="14" t="s">
        <v>1586</v>
      </c>
      <c r="G14" s="14" t="s">
        <v>1586</v>
      </c>
      <c r="H14" s="14" t="s">
        <v>1586</v>
      </c>
      <c r="I14" s="14" t="s">
        <v>1586</v>
      </c>
      <c r="J14" s="15">
        <v>2</v>
      </c>
      <c r="K14" s="14" t="s">
        <v>1586</v>
      </c>
      <c r="L14" s="15">
        <v>2</v>
      </c>
      <c r="M14" s="14" t="s">
        <v>1586</v>
      </c>
      <c r="N14" s="14" t="s">
        <v>1586</v>
      </c>
      <c r="O14" s="15">
        <v>2</v>
      </c>
      <c r="P14" s="15">
        <v>1</v>
      </c>
      <c r="Q14" s="15">
        <v>3</v>
      </c>
      <c r="R14" s="15">
        <v>1</v>
      </c>
    </row>
    <row r="15" spans="1:18" ht="14.25">
      <c r="A15" s="6">
        <v>12</v>
      </c>
      <c r="B15" s="7" t="s">
        <v>38</v>
      </c>
      <c r="C15" s="8">
        <v>169.2</v>
      </c>
      <c r="D15" s="8">
        <v>8266</v>
      </c>
      <c r="E15" s="14" t="s">
        <v>1586</v>
      </c>
      <c r="F15" s="14" t="s">
        <v>1586</v>
      </c>
      <c r="G15" s="14" t="s">
        <v>1586</v>
      </c>
      <c r="H15" s="14" t="s">
        <v>1586</v>
      </c>
      <c r="I15" s="14" t="s">
        <v>1586</v>
      </c>
      <c r="J15" s="14" t="s">
        <v>1586</v>
      </c>
      <c r="K15" s="14" t="s">
        <v>1586</v>
      </c>
      <c r="L15" s="15">
        <v>1</v>
      </c>
      <c r="M15" s="14" t="s">
        <v>1586</v>
      </c>
      <c r="N15" s="14" t="s">
        <v>1586</v>
      </c>
      <c r="O15" s="14" t="s">
        <v>1586</v>
      </c>
      <c r="P15" s="15">
        <v>1</v>
      </c>
      <c r="Q15" s="15">
        <v>10</v>
      </c>
      <c r="R15" s="15">
        <v>2</v>
      </c>
    </row>
    <row r="16" spans="1:18" ht="14.25">
      <c r="A16" s="6">
        <v>13</v>
      </c>
      <c r="B16" s="7" t="s">
        <v>40</v>
      </c>
      <c r="C16" s="8">
        <v>86.5</v>
      </c>
      <c r="D16" s="8">
        <v>7350</v>
      </c>
      <c r="E16" s="14" t="s">
        <v>1586</v>
      </c>
      <c r="F16" s="14" t="s">
        <v>1586</v>
      </c>
      <c r="G16" s="14" t="s">
        <v>1586</v>
      </c>
      <c r="H16" s="14" t="s">
        <v>1586</v>
      </c>
      <c r="I16" s="14" t="s">
        <v>1586</v>
      </c>
      <c r="J16" s="14" t="s">
        <v>1586</v>
      </c>
      <c r="K16" s="14" t="s">
        <v>1586</v>
      </c>
      <c r="L16" s="15">
        <v>1</v>
      </c>
      <c r="M16" s="15">
        <v>1</v>
      </c>
      <c r="N16" s="14" t="s">
        <v>1586</v>
      </c>
      <c r="O16" s="15">
        <v>1</v>
      </c>
      <c r="P16" s="14" t="s">
        <v>1586</v>
      </c>
      <c r="Q16" s="14" t="s">
        <v>1586</v>
      </c>
      <c r="R16" s="15">
        <v>1</v>
      </c>
    </row>
    <row r="17" spans="1:18" ht="14.25">
      <c r="A17" s="6">
        <v>14</v>
      </c>
      <c r="B17" s="7" t="s">
        <v>42</v>
      </c>
      <c r="C17" s="8">
        <v>2098.1999999999998</v>
      </c>
      <c r="D17" s="8">
        <v>7206.5</v>
      </c>
      <c r="E17" s="14" t="s">
        <v>1586</v>
      </c>
      <c r="F17" s="14" t="s">
        <v>1586</v>
      </c>
      <c r="G17" s="14" t="s">
        <v>1586</v>
      </c>
      <c r="H17" s="14" t="s">
        <v>1586</v>
      </c>
      <c r="I17" s="14" t="s">
        <v>1586</v>
      </c>
      <c r="J17" s="14" t="s">
        <v>1586</v>
      </c>
      <c r="K17" s="14" t="s">
        <v>1586</v>
      </c>
      <c r="L17" s="14" t="s">
        <v>1586</v>
      </c>
      <c r="M17" s="15">
        <v>1</v>
      </c>
      <c r="N17" s="14" t="s">
        <v>1586</v>
      </c>
      <c r="O17" s="15">
        <v>1</v>
      </c>
      <c r="P17" s="14" t="s">
        <v>1586</v>
      </c>
      <c r="Q17" s="15">
        <v>1</v>
      </c>
      <c r="R17" s="14" t="s">
        <v>1586</v>
      </c>
    </row>
    <row r="18" spans="1:18" ht="14.25">
      <c r="A18" s="6">
        <v>15</v>
      </c>
      <c r="B18" s="7" t="s">
        <v>44</v>
      </c>
      <c r="C18" s="8">
        <v>611</v>
      </c>
      <c r="D18" s="8">
        <v>7122</v>
      </c>
      <c r="E18" s="14" t="s">
        <v>1586</v>
      </c>
      <c r="F18" s="14" t="s">
        <v>1586</v>
      </c>
      <c r="G18" s="14" t="s">
        <v>1586</v>
      </c>
      <c r="H18" s="14" t="s">
        <v>1586</v>
      </c>
      <c r="I18" s="15">
        <v>1</v>
      </c>
      <c r="J18" s="14" t="s">
        <v>1586</v>
      </c>
      <c r="K18" s="14" t="s">
        <v>1586</v>
      </c>
      <c r="L18" s="15">
        <v>1</v>
      </c>
      <c r="M18" s="14" t="s">
        <v>1586</v>
      </c>
      <c r="N18" s="14" t="s">
        <v>1586</v>
      </c>
      <c r="O18" s="14" t="s">
        <v>1586</v>
      </c>
      <c r="P18" s="15">
        <v>2</v>
      </c>
      <c r="Q18" s="14" t="s">
        <v>1586</v>
      </c>
      <c r="R18" s="14" t="s">
        <v>1586</v>
      </c>
    </row>
    <row r="19" spans="1:18" ht="14.25">
      <c r="A19" s="6">
        <v>16</v>
      </c>
      <c r="B19" s="7" t="s">
        <v>46</v>
      </c>
      <c r="C19" s="8">
        <v>92</v>
      </c>
      <c r="D19" s="8">
        <v>7001</v>
      </c>
      <c r="E19" s="14" t="s">
        <v>1586</v>
      </c>
      <c r="F19" s="14" t="s">
        <v>1586</v>
      </c>
      <c r="G19" s="14" t="s">
        <v>1586</v>
      </c>
      <c r="H19" s="14" t="s">
        <v>1586</v>
      </c>
      <c r="I19" s="14" t="s">
        <v>1586</v>
      </c>
      <c r="J19" s="14" t="s">
        <v>1586</v>
      </c>
      <c r="K19" s="14" t="s">
        <v>1586</v>
      </c>
      <c r="L19" s="14" t="s">
        <v>1586</v>
      </c>
      <c r="M19" s="15">
        <v>1</v>
      </c>
      <c r="N19" s="14" t="s">
        <v>1586</v>
      </c>
      <c r="O19" s="15">
        <v>1</v>
      </c>
      <c r="P19" s="15">
        <v>1</v>
      </c>
      <c r="Q19" s="14" t="s">
        <v>1586</v>
      </c>
      <c r="R19" s="15">
        <v>4</v>
      </c>
    </row>
    <row r="20" spans="1:18" ht="14.25">
      <c r="A20" s="6">
        <v>17</v>
      </c>
      <c r="B20" s="7" t="s">
        <v>48</v>
      </c>
      <c r="C20" s="8">
        <v>351</v>
      </c>
      <c r="D20" s="8">
        <v>6285.7</v>
      </c>
      <c r="E20" s="14" t="s">
        <v>1586</v>
      </c>
      <c r="F20" s="14" t="s">
        <v>1586</v>
      </c>
      <c r="G20" s="14" t="s">
        <v>1586</v>
      </c>
      <c r="H20" s="14" t="s">
        <v>1586</v>
      </c>
      <c r="I20" s="14" t="s">
        <v>1586</v>
      </c>
      <c r="J20" s="14" t="s">
        <v>1586</v>
      </c>
      <c r="K20" s="15">
        <v>1</v>
      </c>
      <c r="L20" s="14" t="s">
        <v>1586</v>
      </c>
      <c r="M20" s="14" t="s">
        <v>1586</v>
      </c>
      <c r="N20" s="15">
        <v>1</v>
      </c>
      <c r="O20" s="14" t="s">
        <v>1586</v>
      </c>
      <c r="P20" s="15">
        <v>1</v>
      </c>
      <c r="Q20" s="14" t="s">
        <v>1586</v>
      </c>
      <c r="R20" s="15">
        <v>1</v>
      </c>
    </row>
    <row r="21" spans="1:18" ht="14.25">
      <c r="A21" s="6">
        <v>18</v>
      </c>
      <c r="B21" s="7" t="s">
        <v>50</v>
      </c>
      <c r="C21" s="8">
        <v>83.9</v>
      </c>
      <c r="D21" s="8">
        <v>6192</v>
      </c>
      <c r="E21" s="14" t="s">
        <v>1586</v>
      </c>
      <c r="F21" s="14" t="s">
        <v>1586</v>
      </c>
      <c r="G21" s="14" t="s">
        <v>1586</v>
      </c>
      <c r="H21" s="14" t="s">
        <v>1586</v>
      </c>
      <c r="I21" s="14" t="s">
        <v>1586</v>
      </c>
      <c r="J21" s="14" t="s">
        <v>1586</v>
      </c>
      <c r="K21" s="15">
        <v>1</v>
      </c>
      <c r="L21" s="14" t="s">
        <v>1586</v>
      </c>
      <c r="M21" s="15">
        <v>1</v>
      </c>
      <c r="N21" s="14" t="s">
        <v>1586</v>
      </c>
      <c r="O21" s="15">
        <v>3</v>
      </c>
      <c r="P21" s="15">
        <v>1</v>
      </c>
      <c r="Q21" s="14" t="s">
        <v>1586</v>
      </c>
      <c r="R21" s="14" t="s">
        <v>1586</v>
      </c>
    </row>
    <row r="22" spans="1:18" ht="14.25">
      <c r="A22" s="6">
        <v>19</v>
      </c>
      <c r="B22" s="7" t="s">
        <v>52</v>
      </c>
      <c r="C22" s="8">
        <v>106</v>
      </c>
      <c r="D22" s="8">
        <v>6150</v>
      </c>
      <c r="E22" s="14" t="s">
        <v>1586</v>
      </c>
      <c r="F22" s="14" t="s">
        <v>1586</v>
      </c>
      <c r="G22" s="14" t="s">
        <v>1586</v>
      </c>
      <c r="H22" s="14" t="s">
        <v>1586</v>
      </c>
      <c r="I22" s="14" t="s">
        <v>1586</v>
      </c>
      <c r="J22" s="14" t="s">
        <v>1586</v>
      </c>
      <c r="K22" s="15">
        <v>2</v>
      </c>
      <c r="L22" s="15">
        <v>1</v>
      </c>
      <c r="M22" s="14" t="s">
        <v>1586</v>
      </c>
      <c r="N22" s="14" t="s">
        <v>1586</v>
      </c>
      <c r="O22" s="15">
        <v>5</v>
      </c>
      <c r="P22" s="14" t="s">
        <v>1586</v>
      </c>
      <c r="Q22" s="14" t="s">
        <v>1586</v>
      </c>
      <c r="R22" s="14" t="s">
        <v>1586</v>
      </c>
    </row>
    <row r="23" spans="1:18" ht="14.25">
      <c r="A23" s="6">
        <v>20</v>
      </c>
      <c r="B23" s="7" t="s">
        <v>54</v>
      </c>
      <c r="C23" s="8">
        <v>5304</v>
      </c>
      <c r="D23" s="8">
        <v>5665</v>
      </c>
      <c r="E23" s="14" t="s">
        <v>1586</v>
      </c>
      <c r="F23" s="14" t="s">
        <v>1586</v>
      </c>
      <c r="G23" s="14" t="s">
        <v>1586</v>
      </c>
      <c r="H23" s="14" t="s">
        <v>1586</v>
      </c>
      <c r="I23" s="14" t="s">
        <v>1586</v>
      </c>
      <c r="J23" s="14" t="s">
        <v>1586</v>
      </c>
      <c r="K23" s="14" t="s">
        <v>1586</v>
      </c>
      <c r="L23" s="14" t="s">
        <v>1586</v>
      </c>
      <c r="M23" s="14" t="s">
        <v>1586</v>
      </c>
      <c r="N23" s="14" t="s">
        <v>1586</v>
      </c>
      <c r="O23" s="15">
        <v>2</v>
      </c>
      <c r="P23" s="14" t="s">
        <v>1586</v>
      </c>
      <c r="Q23" s="15">
        <v>1</v>
      </c>
      <c r="R23" s="14" t="s">
        <v>1586</v>
      </c>
    </row>
    <row r="24" spans="1:18" ht="14.25">
      <c r="A24" s="6">
        <v>21</v>
      </c>
      <c r="B24" s="7" t="s">
        <v>56</v>
      </c>
      <c r="C24" s="8">
        <v>369.5</v>
      </c>
      <c r="D24" s="8">
        <v>5434.4</v>
      </c>
      <c r="E24" s="14" t="s">
        <v>1586</v>
      </c>
      <c r="F24" s="14" t="s">
        <v>1586</v>
      </c>
      <c r="G24" s="15">
        <v>1</v>
      </c>
      <c r="H24" s="14" t="s">
        <v>1586</v>
      </c>
      <c r="I24" s="14" t="s">
        <v>1586</v>
      </c>
      <c r="J24" s="14" t="s">
        <v>1586</v>
      </c>
      <c r="K24" s="14" t="s">
        <v>1586</v>
      </c>
      <c r="L24" s="14" t="s">
        <v>1586</v>
      </c>
      <c r="M24" s="14" t="s">
        <v>1586</v>
      </c>
      <c r="N24" s="14" t="s">
        <v>1586</v>
      </c>
      <c r="O24" s="15">
        <v>3</v>
      </c>
      <c r="P24" s="14" t="s">
        <v>1586</v>
      </c>
      <c r="Q24" s="15">
        <v>1</v>
      </c>
      <c r="R24" s="15">
        <v>1</v>
      </c>
    </row>
    <row r="25" spans="1:18" ht="14.25">
      <c r="A25" s="6">
        <v>22</v>
      </c>
      <c r="B25" s="7" t="s">
        <v>58</v>
      </c>
      <c r="C25" s="8">
        <v>163</v>
      </c>
      <c r="D25" s="8">
        <v>5367.4</v>
      </c>
      <c r="E25" s="14" t="s">
        <v>1586</v>
      </c>
      <c r="F25" s="14" t="s">
        <v>1586</v>
      </c>
      <c r="G25" s="14" t="s">
        <v>1586</v>
      </c>
      <c r="H25" s="14" t="s">
        <v>1586</v>
      </c>
      <c r="I25" s="14" t="s">
        <v>1586</v>
      </c>
      <c r="J25" s="14" t="s">
        <v>1586</v>
      </c>
      <c r="K25" s="15">
        <v>1</v>
      </c>
      <c r="L25" s="14" t="s">
        <v>1586</v>
      </c>
      <c r="M25" s="14" t="s">
        <v>1586</v>
      </c>
      <c r="N25" s="15">
        <v>1</v>
      </c>
      <c r="O25" s="15">
        <v>1</v>
      </c>
      <c r="P25" s="15">
        <v>2</v>
      </c>
      <c r="Q25" s="15">
        <v>1</v>
      </c>
      <c r="R25" s="14" t="s">
        <v>1586</v>
      </c>
    </row>
    <row r="26" spans="1:18" ht="14.25">
      <c r="A26" s="6">
        <v>23</v>
      </c>
      <c r="B26" s="7" t="s">
        <v>60</v>
      </c>
      <c r="C26" s="8">
        <v>94.1</v>
      </c>
      <c r="D26" s="8">
        <v>5264</v>
      </c>
      <c r="E26" s="14" t="s">
        <v>1586</v>
      </c>
      <c r="F26" s="14" t="s">
        <v>1586</v>
      </c>
      <c r="G26" s="14" t="s">
        <v>1586</v>
      </c>
      <c r="H26" s="14" t="s">
        <v>1586</v>
      </c>
      <c r="I26" s="14" t="s">
        <v>1586</v>
      </c>
      <c r="J26" s="14" t="s">
        <v>1586</v>
      </c>
      <c r="K26" s="14" t="s">
        <v>1586</v>
      </c>
      <c r="L26" s="15">
        <v>1</v>
      </c>
      <c r="M26" s="15">
        <v>1</v>
      </c>
      <c r="N26" s="15">
        <v>4</v>
      </c>
      <c r="O26" s="15">
        <v>1</v>
      </c>
      <c r="P26" s="15">
        <v>1</v>
      </c>
      <c r="Q26" s="14" t="s">
        <v>1586</v>
      </c>
      <c r="R26" s="15">
        <v>1</v>
      </c>
    </row>
    <row r="27" spans="1:18" ht="14.25">
      <c r="A27" s="6">
        <v>24</v>
      </c>
      <c r="B27" s="7" t="s">
        <v>62</v>
      </c>
      <c r="C27" s="8">
        <v>3161.5</v>
      </c>
      <c r="D27" s="8">
        <v>5160</v>
      </c>
      <c r="E27" s="14" t="s">
        <v>1586</v>
      </c>
      <c r="F27" s="14" t="s">
        <v>1586</v>
      </c>
      <c r="G27" s="14" t="s">
        <v>1586</v>
      </c>
      <c r="H27" s="14" t="s">
        <v>1586</v>
      </c>
      <c r="I27" s="14" t="s">
        <v>1586</v>
      </c>
      <c r="J27" s="15">
        <v>1</v>
      </c>
      <c r="K27" s="14" t="s">
        <v>1586</v>
      </c>
      <c r="L27" s="14" t="s">
        <v>1586</v>
      </c>
      <c r="M27" s="14" t="s">
        <v>1586</v>
      </c>
      <c r="N27" s="14" t="s">
        <v>1586</v>
      </c>
      <c r="O27" s="14" t="s">
        <v>1586</v>
      </c>
      <c r="P27" s="15">
        <v>1</v>
      </c>
      <c r="Q27" s="14" t="s">
        <v>1586</v>
      </c>
      <c r="R27" s="14" t="s">
        <v>1586</v>
      </c>
    </row>
    <row r="28" spans="1:18" ht="14.25">
      <c r="A28" s="6">
        <v>25</v>
      </c>
      <c r="B28" s="7" t="s">
        <v>64</v>
      </c>
      <c r="C28" s="8">
        <v>320</v>
      </c>
      <c r="D28" s="8">
        <v>5062</v>
      </c>
      <c r="E28" s="14" t="s">
        <v>1586</v>
      </c>
      <c r="F28" s="14" t="s">
        <v>1586</v>
      </c>
      <c r="G28" s="14" t="s">
        <v>1586</v>
      </c>
      <c r="H28" s="14" t="s">
        <v>1586</v>
      </c>
      <c r="I28" s="14" t="s">
        <v>1586</v>
      </c>
      <c r="J28" s="14" t="s">
        <v>1586</v>
      </c>
      <c r="K28" s="14" t="s">
        <v>1586</v>
      </c>
      <c r="L28" s="14" t="s">
        <v>1586</v>
      </c>
      <c r="M28" s="14" t="s">
        <v>1586</v>
      </c>
      <c r="N28" s="15">
        <v>1</v>
      </c>
      <c r="O28" s="15">
        <v>1</v>
      </c>
      <c r="P28" s="14" t="s">
        <v>1586</v>
      </c>
      <c r="Q28" s="15">
        <v>1</v>
      </c>
      <c r="R28" s="14" t="s">
        <v>1586</v>
      </c>
    </row>
    <row r="29" spans="1:18" ht="14.25">
      <c r="A29" s="6">
        <v>26</v>
      </c>
      <c r="B29" s="7" t="s">
        <v>66</v>
      </c>
      <c r="C29" s="8">
        <v>500</v>
      </c>
      <c r="D29" s="8">
        <v>5000</v>
      </c>
      <c r="E29" s="14" t="s">
        <v>1586</v>
      </c>
      <c r="F29" s="14" t="s">
        <v>1586</v>
      </c>
      <c r="G29" s="14" t="s">
        <v>1586</v>
      </c>
      <c r="H29" s="14" t="s">
        <v>1586</v>
      </c>
      <c r="I29" s="14" t="s">
        <v>1586</v>
      </c>
      <c r="J29" s="14" t="s">
        <v>1586</v>
      </c>
      <c r="K29" s="14" t="s">
        <v>1586</v>
      </c>
      <c r="L29" s="14" t="s">
        <v>1586</v>
      </c>
      <c r="M29" s="14" t="s">
        <v>1586</v>
      </c>
      <c r="N29" s="14" t="s">
        <v>1586</v>
      </c>
      <c r="O29" s="14" t="s">
        <v>1586</v>
      </c>
      <c r="P29" s="14" t="s">
        <v>1586</v>
      </c>
      <c r="Q29" s="15">
        <v>1</v>
      </c>
      <c r="R29" s="15">
        <v>2</v>
      </c>
    </row>
    <row r="30" spans="1:18" ht="14.25">
      <c r="A30" s="6">
        <v>27</v>
      </c>
      <c r="B30" s="7" t="s">
        <v>68</v>
      </c>
      <c r="C30" s="8">
        <v>71.8</v>
      </c>
      <c r="D30" s="8">
        <v>4680</v>
      </c>
      <c r="E30" s="14" t="s">
        <v>1586</v>
      </c>
      <c r="F30" s="14" t="s">
        <v>1586</v>
      </c>
      <c r="G30" s="14" t="s">
        <v>1586</v>
      </c>
      <c r="H30" s="14" t="s">
        <v>1586</v>
      </c>
      <c r="I30" s="14" t="s">
        <v>1586</v>
      </c>
      <c r="J30" s="14" t="s">
        <v>1586</v>
      </c>
      <c r="K30" s="14" t="s">
        <v>1586</v>
      </c>
      <c r="L30" s="15">
        <v>1</v>
      </c>
      <c r="M30" s="14" t="s">
        <v>1586</v>
      </c>
      <c r="N30" s="15">
        <v>2</v>
      </c>
      <c r="O30" s="15">
        <v>1</v>
      </c>
      <c r="P30" s="15">
        <v>2</v>
      </c>
      <c r="Q30" s="15">
        <v>2</v>
      </c>
      <c r="R30" s="15">
        <v>2</v>
      </c>
    </row>
    <row r="31" spans="1:18" ht="14.25">
      <c r="A31" s="6">
        <v>28</v>
      </c>
      <c r="B31" s="7" t="s">
        <v>70</v>
      </c>
      <c r="C31" s="8">
        <v>1050</v>
      </c>
      <c r="D31" s="8">
        <v>4510</v>
      </c>
      <c r="E31" s="14" t="s">
        <v>1586</v>
      </c>
      <c r="F31" s="14" t="s">
        <v>1586</v>
      </c>
      <c r="G31" s="14" t="s">
        <v>1586</v>
      </c>
      <c r="H31" s="14" t="s">
        <v>1586</v>
      </c>
      <c r="I31" s="14" t="s">
        <v>1586</v>
      </c>
      <c r="J31" s="14" t="s">
        <v>1586</v>
      </c>
      <c r="K31" s="14" t="s">
        <v>1586</v>
      </c>
      <c r="L31" s="14" t="s">
        <v>1586</v>
      </c>
      <c r="M31" s="14" t="s">
        <v>1586</v>
      </c>
      <c r="N31" s="14" t="s">
        <v>1586</v>
      </c>
      <c r="O31" s="14" t="s">
        <v>1586</v>
      </c>
      <c r="P31" s="15">
        <v>3</v>
      </c>
      <c r="Q31" s="14" t="s">
        <v>1586</v>
      </c>
      <c r="R31" s="15">
        <v>1</v>
      </c>
    </row>
    <row r="32" spans="1:18" ht="14.25">
      <c r="A32" s="6">
        <v>29</v>
      </c>
      <c r="B32" s="7" t="s">
        <v>72</v>
      </c>
      <c r="C32" s="8">
        <v>775.5</v>
      </c>
      <c r="D32" s="8">
        <v>4067</v>
      </c>
      <c r="E32" s="14" t="s">
        <v>1586</v>
      </c>
      <c r="F32" s="14" t="s">
        <v>1586</v>
      </c>
      <c r="G32" s="14" t="s">
        <v>1586</v>
      </c>
      <c r="H32" s="14" t="s">
        <v>1586</v>
      </c>
      <c r="I32" s="14" t="s">
        <v>1586</v>
      </c>
      <c r="J32" s="14" t="s">
        <v>1586</v>
      </c>
      <c r="K32" s="14" t="s">
        <v>1586</v>
      </c>
      <c r="L32" s="14" t="s">
        <v>1586</v>
      </c>
      <c r="M32" s="15">
        <v>2</v>
      </c>
      <c r="N32" s="14" t="s">
        <v>1586</v>
      </c>
      <c r="O32" s="14" t="s">
        <v>1586</v>
      </c>
      <c r="P32" s="15">
        <v>1</v>
      </c>
      <c r="Q32" s="14" t="s">
        <v>1586</v>
      </c>
      <c r="R32" s="14" t="s">
        <v>1586</v>
      </c>
    </row>
    <row r="33" spans="1:18" ht="14.25">
      <c r="A33" s="6">
        <v>30</v>
      </c>
      <c r="B33" s="7" t="s">
        <v>74</v>
      </c>
      <c r="C33" s="8">
        <v>80</v>
      </c>
      <c r="D33" s="8">
        <v>4000</v>
      </c>
      <c r="E33" s="14" t="s">
        <v>1586</v>
      </c>
      <c r="F33" s="15">
        <v>1</v>
      </c>
      <c r="G33" s="14" t="s">
        <v>1586</v>
      </c>
      <c r="H33" s="14" t="s">
        <v>1586</v>
      </c>
      <c r="I33" s="14" t="s">
        <v>1586</v>
      </c>
      <c r="J33" s="14" t="s">
        <v>1586</v>
      </c>
      <c r="K33" s="14" t="s">
        <v>1586</v>
      </c>
      <c r="L33" s="15">
        <v>1</v>
      </c>
      <c r="M33" s="15">
        <v>1</v>
      </c>
      <c r="N33" s="15">
        <v>2</v>
      </c>
      <c r="O33" s="15">
        <v>1</v>
      </c>
      <c r="P33" s="15">
        <v>4</v>
      </c>
      <c r="Q33" s="15">
        <v>4</v>
      </c>
      <c r="R33" s="15">
        <v>2</v>
      </c>
    </row>
    <row r="34" spans="1:18" ht="14.25">
      <c r="A34" s="6">
        <v>31</v>
      </c>
      <c r="B34" s="7" t="s">
        <v>76</v>
      </c>
      <c r="C34" s="8">
        <v>3230</v>
      </c>
      <c r="D34" s="8">
        <v>3900</v>
      </c>
      <c r="E34" s="14" t="s">
        <v>1586</v>
      </c>
      <c r="F34" s="14" t="s">
        <v>1586</v>
      </c>
      <c r="G34" s="14" t="s">
        <v>1586</v>
      </c>
      <c r="H34" s="14" t="s">
        <v>1586</v>
      </c>
      <c r="I34" s="14" t="s">
        <v>1586</v>
      </c>
      <c r="J34" s="14" t="s">
        <v>1586</v>
      </c>
      <c r="K34" s="14" t="s">
        <v>1586</v>
      </c>
      <c r="L34" s="14" t="s">
        <v>1586</v>
      </c>
      <c r="M34" s="14" t="s">
        <v>1586</v>
      </c>
      <c r="N34" s="14" t="s">
        <v>1586</v>
      </c>
      <c r="O34" s="15">
        <v>1</v>
      </c>
      <c r="P34" s="15">
        <v>1</v>
      </c>
      <c r="Q34" s="14" t="s">
        <v>1586</v>
      </c>
      <c r="R34" s="14" t="s">
        <v>1586</v>
      </c>
    </row>
    <row r="35" spans="1:18" ht="14.25">
      <c r="A35" s="6">
        <v>32</v>
      </c>
      <c r="B35" s="7" t="s">
        <v>78</v>
      </c>
      <c r="C35" s="8">
        <v>537.1</v>
      </c>
      <c r="D35" s="8">
        <v>3890</v>
      </c>
      <c r="E35" s="14" t="s">
        <v>1586</v>
      </c>
      <c r="F35" s="14" t="s">
        <v>1586</v>
      </c>
      <c r="G35" s="14" t="s">
        <v>1586</v>
      </c>
      <c r="H35" s="14" t="s">
        <v>1586</v>
      </c>
      <c r="I35" s="14" t="s">
        <v>1586</v>
      </c>
      <c r="J35" s="14" t="s">
        <v>1586</v>
      </c>
      <c r="K35" s="14" t="s">
        <v>1586</v>
      </c>
      <c r="L35" s="14" t="s">
        <v>1586</v>
      </c>
      <c r="M35" s="14" t="s">
        <v>1586</v>
      </c>
      <c r="N35" s="15">
        <v>1</v>
      </c>
      <c r="O35" s="15">
        <v>4</v>
      </c>
      <c r="P35" s="15">
        <v>1</v>
      </c>
      <c r="Q35" s="14" t="s">
        <v>1586</v>
      </c>
      <c r="R35" s="14" t="s">
        <v>1586</v>
      </c>
    </row>
    <row r="36" spans="1:18" ht="14.25">
      <c r="A36" s="6">
        <v>33</v>
      </c>
      <c r="B36" s="7" t="s">
        <v>80</v>
      </c>
      <c r="C36" s="8">
        <v>110</v>
      </c>
      <c r="D36" s="8">
        <v>3842</v>
      </c>
      <c r="E36" s="14" t="s">
        <v>1586</v>
      </c>
      <c r="F36" s="14" t="s">
        <v>1586</v>
      </c>
      <c r="G36" s="14" t="s">
        <v>1586</v>
      </c>
      <c r="H36" s="14" t="s">
        <v>1586</v>
      </c>
      <c r="I36" s="14" t="s">
        <v>1586</v>
      </c>
      <c r="J36" s="14" t="s">
        <v>1586</v>
      </c>
      <c r="K36" s="14" t="s">
        <v>1586</v>
      </c>
      <c r="L36" s="14" t="s">
        <v>1586</v>
      </c>
      <c r="M36" s="14" t="s">
        <v>1586</v>
      </c>
      <c r="N36" s="14" t="s">
        <v>1586</v>
      </c>
      <c r="O36" s="15">
        <v>1</v>
      </c>
      <c r="P36" s="15">
        <v>1</v>
      </c>
      <c r="Q36" s="15">
        <v>2</v>
      </c>
      <c r="R36" s="14" t="s">
        <v>1586</v>
      </c>
    </row>
    <row r="37" spans="1:18" ht="14.25">
      <c r="A37" s="6">
        <v>34</v>
      </c>
      <c r="B37" s="7" t="s">
        <v>82</v>
      </c>
      <c r="C37" s="8">
        <v>23</v>
      </c>
      <c r="D37" s="8">
        <v>3781</v>
      </c>
      <c r="E37" s="14" t="s">
        <v>1586</v>
      </c>
      <c r="F37" s="14" t="s">
        <v>1586</v>
      </c>
      <c r="G37" s="15">
        <v>1</v>
      </c>
      <c r="H37" s="14" t="s">
        <v>1586</v>
      </c>
      <c r="I37" s="14" t="s">
        <v>1586</v>
      </c>
      <c r="J37" s="14" t="s">
        <v>1586</v>
      </c>
      <c r="K37" s="15">
        <v>3</v>
      </c>
      <c r="L37" s="15">
        <v>1</v>
      </c>
      <c r="M37" s="15">
        <v>2</v>
      </c>
      <c r="N37" s="14" t="s">
        <v>1586</v>
      </c>
      <c r="O37" s="15">
        <v>5</v>
      </c>
      <c r="P37" s="15">
        <v>1</v>
      </c>
      <c r="Q37" s="14" t="s">
        <v>1586</v>
      </c>
      <c r="R37" s="14" t="s">
        <v>1586</v>
      </c>
    </row>
    <row r="38" spans="1:18" ht="14.25">
      <c r="A38" s="6">
        <v>35</v>
      </c>
      <c r="B38" s="7" t="s">
        <v>84</v>
      </c>
      <c r="C38" s="8">
        <v>3729.5</v>
      </c>
      <c r="D38" s="8">
        <v>3729.5</v>
      </c>
      <c r="E38" s="14" t="s">
        <v>1586</v>
      </c>
      <c r="F38" s="14" t="s">
        <v>1586</v>
      </c>
      <c r="G38" s="14" t="s">
        <v>1586</v>
      </c>
      <c r="H38" s="14" t="s">
        <v>1586</v>
      </c>
      <c r="I38" s="14" t="s">
        <v>1586</v>
      </c>
      <c r="J38" s="14" t="s">
        <v>1586</v>
      </c>
      <c r="K38" s="14" t="s">
        <v>1586</v>
      </c>
      <c r="L38" s="14" t="s">
        <v>1586</v>
      </c>
      <c r="M38" s="14" t="s">
        <v>1586</v>
      </c>
      <c r="N38" s="14" t="s">
        <v>1586</v>
      </c>
      <c r="O38" s="14" t="s">
        <v>1586</v>
      </c>
      <c r="P38" s="14" t="s">
        <v>1586</v>
      </c>
      <c r="Q38" s="14" t="s">
        <v>1586</v>
      </c>
      <c r="R38" s="15">
        <v>1</v>
      </c>
    </row>
    <row r="39" spans="1:18" ht="14.25">
      <c r="A39" s="6">
        <v>36</v>
      </c>
      <c r="B39" s="7" t="s">
        <v>86</v>
      </c>
      <c r="C39" s="8">
        <v>177.5</v>
      </c>
      <c r="D39" s="8">
        <v>3675</v>
      </c>
      <c r="E39" s="14" t="s">
        <v>1586</v>
      </c>
      <c r="F39" s="14" t="s">
        <v>1586</v>
      </c>
      <c r="G39" s="14" t="s">
        <v>1586</v>
      </c>
      <c r="H39" s="14" t="s">
        <v>1586</v>
      </c>
      <c r="I39" s="14" t="s">
        <v>1586</v>
      </c>
      <c r="J39" s="14" t="s">
        <v>1586</v>
      </c>
      <c r="K39" s="15">
        <v>1</v>
      </c>
      <c r="L39" s="14" t="s">
        <v>1586</v>
      </c>
      <c r="M39" s="15">
        <v>3</v>
      </c>
      <c r="N39" s="15">
        <v>2</v>
      </c>
      <c r="O39" s="15">
        <v>2</v>
      </c>
      <c r="P39" s="14" t="s">
        <v>1586</v>
      </c>
      <c r="Q39" s="15">
        <v>1</v>
      </c>
      <c r="R39" s="15">
        <v>3</v>
      </c>
    </row>
    <row r="40" spans="1:18" ht="14.25">
      <c r="A40" s="6">
        <v>37</v>
      </c>
      <c r="B40" s="7" t="s">
        <v>88</v>
      </c>
      <c r="C40" s="8">
        <v>265</v>
      </c>
      <c r="D40" s="8">
        <v>3675</v>
      </c>
      <c r="E40" s="14" t="s">
        <v>1586</v>
      </c>
      <c r="F40" s="14" t="s">
        <v>1586</v>
      </c>
      <c r="G40" s="14" t="s">
        <v>1586</v>
      </c>
      <c r="H40" s="14" t="s">
        <v>1586</v>
      </c>
      <c r="I40" s="14" t="s">
        <v>1586</v>
      </c>
      <c r="J40" s="14" t="s">
        <v>1586</v>
      </c>
      <c r="K40" s="15">
        <v>1</v>
      </c>
      <c r="L40" s="15">
        <v>1</v>
      </c>
      <c r="M40" s="15">
        <v>1</v>
      </c>
      <c r="N40" s="15">
        <v>2</v>
      </c>
      <c r="O40" s="14" t="s">
        <v>1586</v>
      </c>
      <c r="P40" s="15">
        <v>5</v>
      </c>
      <c r="Q40" s="14" t="s">
        <v>1586</v>
      </c>
      <c r="R40" s="15">
        <v>1</v>
      </c>
    </row>
    <row r="41" spans="1:18" ht="14.25">
      <c r="A41" s="6">
        <v>38</v>
      </c>
      <c r="B41" s="7" t="s">
        <v>90</v>
      </c>
      <c r="C41" s="8">
        <v>132</v>
      </c>
      <c r="D41" s="8">
        <v>3622.4</v>
      </c>
      <c r="E41" s="14" t="s">
        <v>1586</v>
      </c>
      <c r="F41" s="14" t="s">
        <v>1586</v>
      </c>
      <c r="G41" s="14" t="s">
        <v>1586</v>
      </c>
      <c r="H41" s="14" t="s">
        <v>1586</v>
      </c>
      <c r="I41" s="14" t="s">
        <v>1586</v>
      </c>
      <c r="J41" s="15">
        <v>3</v>
      </c>
      <c r="K41" s="15">
        <v>1</v>
      </c>
      <c r="L41" s="15">
        <v>1</v>
      </c>
      <c r="M41" s="15">
        <v>7</v>
      </c>
      <c r="N41" s="15">
        <v>1</v>
      </c>
      <c r="O41" s="15">
        <v>4</v>
      </c>
      <c r="P41" s="14" t="s">
        <v>1586</v>
      </c>
      <c r="Q41" s="15">
        <v>2</v>
      </c>
      <c r="R41" s="15">
        <v>3</v>
      </c>
    </row>
    <row r="42" spans="1:18" ht="14.25">
      <c r="A42" s="6">
        <v>39</v>
      </c>
      <c r="B42" s="7" t="s">
        <v>92</v>
      </c>
      <c r="C42" s="8">
        <v>73.7</v>
      </c>
      <c r="D42" s="8">
        <v>3525</v>
      </c>
      <c r="E42" s="14" t="s">
        <v>1586</v>
      </c>
      <c r="F42" s="14" t="s">
        <v>1586</v>
      </c>
      <c r="G42" s="14" t="s">
        <v>1586</v>
      </c>
      <c r="H42" s="14" t="s">
        <v>1586</v>
      </c>
      <c r="I42" s="14" t="s">
        <v>1586</v>
      </c>
      <c r="J42" s="14" t="s">
        <v>1586</v>
      </c>
      <c r="K42" s="14" t="s">
        <v>1586</v>
      </c>
      <c r="L42" s="15">
        <v>1</v>
      </c>
      <c r="M42" s="15">
        <v>1</v>
      </c>
      <c r="N42" s="14" t="s">
        <v>1586</v>
      </c>
      <c r="O42" s="15">
        <v>4</v>
      </c>
      <c r="P42" s="14" t="s">
        <v>1586</v>
      </c>
      <c r="Q42" s="15">
        <v>1</v>
      </c>
      <c r="R42" s="15">
        <v>1</v>
      </c>
    </row>
    <row r="43" spans="1:18" ht="14.25">
      <c r="A43" s="6">
        <v>40</v>
      </c>
      <c r="B43" s="7" t="s">
        <v>94</v>
      </c>
      <c r="C43" s="8">
        <v>3511</v>
      </c>
      <c r="D43" s="8">
        <v>3511</v>
      </c>
      <c r="E43" s="14" t="s">
        <v>1586</v>
      </c>
      <c r="F43" s="14" t="s">
        <v>1586</v>
      </c>
      <c r="G43" s="14" t="s">
        <v>1586</v>
      </c>
      <c r="H43" s="14" t="s">
        <v>1586</v>
      </c>
      <c r="I43" s="14" t="s">
        <v>1586</v>
      </c>
      <c r="J43" s="14" t="s">
        <v>1586</v>
      </c>
      <c r="K43" s="14" t="s">
        <v>1586</v>
      </c>
      <c r="L43" s="14" t="s">
        <v>1586</v>
      </c>
      <c r="M43" s="14" t="s">
        <v>1586</v>
      </c>
      <c r="N43" s="14" t="s">
        <v>1586</v>
      </c>
      <c r="O43" s="14" t="s">
        <v>1586</v>
      </c>
      <c r="P43" s="15">
        <v>1</v>
      </c>
      <c r="Q43" s="14" t="s">
        <v>1586</v>
      </c>
      <c r="R43" s="14" t="s">
        <v>1586</v>
      </c>
    </row>
    <row r="44" spans="1:18" ht="14.25">
      <c r="A44" s="6">
        <v>41</v>
      </c>
      <c r="B44" s="7" t="s">
        <v>96</v>
      </c>
      <c r="C44" s="8">
        <v>550</v>
      </c>
      <c r="D44" s="8">
        <v>3150</v>
      </c>
      <c r="E44" s="14" t="s">
        <v>1586</v>
      </c>
      <c r="F44" s="14" t="s">
        <v>1586</v>
      </c>
      <c r="G44" s="14" t="s">
        <v>1586</v>
      </c>
      <c r="H44" s="14" t="s">
        <v>1586</v>
      </c>
      <c r="I44" s="14" t="s">
        <v>1586</v>
      </c>
      <c r="J44" s="14" t="s">
        <v>1586</v>
      </c>
      <c r="K44" s="14" t="s">
        <v>1586</v>
      </c>
      <c r="L44" s="14" t="s">
        <v>1586</v>
      </c>
      <c r="M44" s="14" t="s">
        <v>1586</v>
      </c>
      <c r="N44" s="14" t="s">
        <v>1586</v>
      </c>
      <c r="O44" s="15">
        <v>1</v>
      </c>
      <c r="P44" s="15">
        <v>1</v>
      </c>
      <c r="Q44" s="14" t="s">
        <v>1586</v>
      </c>
      <c r="R44" s="14" t="s">
        <v>1586</v>
      </c>
    </row>
    <row r="45" spans="1:18" ht="14.25">
      <c r="A45" s="6">
        <v>42</v>
      </c>
      <c r="B45" s="7" t="s">
        <v>98</v>
      </c>
      <c r="C45" s="8">
        <v>2525</v>
      </c>
      <c r="D45" s="8">
        <v>3062</v>
      </c>
      <c r="E45" s="14" t="s">
        <v>1586</v>
      </c>
      <c r="F45" s="14" t="s">
        <v>1586</v>
      </c>
      <c r="G45" s="14" t="s">
        <v>1586</v>
      </c>
      <c r="H45" s="14" t="s">
        <v>1586</v>
      </c>
      <c r="I45" s="14" t="s">
        <v>1586</v>
      </c>
      <c r="J45" s="14" t="s">
        <v>1586</v>
      </c>
      <c r="K45" s="14" t="s">
        <v>1586</v>
      </c>
      <c r="L45" s="14" t="s">
        <v>1586</v>
      </c>
      <c r="M45" s="14" t="s">
        <v>1586</v>
      </c>
      <c r="N45" s="14" t="s">
        <v>1586</v>
      </c>
      <c r="O45" s="14" t="s">
        <v>1586</v>
      </c>
      <c r="P45" s="14" t="s">
        <v>1586</v>
      </c>
      <c r="Q45" s="15">
        <v>1</v>
      </c>
      <c r="R45" s="15">
        <v>1</v>
      </c>
    </row>
    <row r="46" spans="1:18" ht="14.25">
      <c r="A46" s="6">
        <v>43</v>
      </c>
      <c r="B46" s="7" t="s">
        <v>100</v>
      </c>
      <c r="C46" s="8">
        <v>1450</v>
      </c>
      <c r="D46" s="8">
        <v>3000</v>
      </c>
      <c r="E46" s="14" t="s">
        <v>1586</v>
      </c>
      <c r="F46" s="14" t="s">
        <v>1586</v>
      </c>
      <c r="G46" s="14" t="s">
        <v>1586</v>
      </c>
      <c r="H46" s="14" t="s">
        <v>1586</v>
      </c>
      <c r="I46" s="14" t="s">
        <v>1586</v>
      </c>
      <c r="J46" s="14" t="s">
        <v>1586</v>
      </c>
      <c r="K46" s="14" t="s">
        <v>1586</v>
      </c>
      <c r="L46" s="14" t="s">
        <v>1586</v>
      </c>
      <c r="M46" s="14" t="s">
        <v>1586</v>
      </c>
      <c r="N46" s="14" t="s">
        <v>1586</v>
      </c>
      <c r="O46" s="15">
        <v>1</v>
      </c>
      <c r="P46" s="15">
        <v>1</v>
      </c>
      <c r="Q46" s="15">
        <v>1</v>
      </c>
      <c r="R46" s="14" t="s">
        <v>1586</v>
      </c>
    </row>
    <row r="47" spans="1:18" ht="14.25">
      <c r="A47" s="6">
        <v>44</v>
      </c>
      <c r="B47" s="7" t="s">
        <v>102</v>
      </c>
      <c r="C47" s="8">
        <v>195</v>
      </c>
      <c r="D47" s="8">
        <v>3000</v>
      </c>
      <c r="E47" s="14" t="s">
        <v>1586</v>
      </c>
      <c r="F47" s="14" t="s">
        <v>1586</v>
      </c>
      <c r="G47" s="14" t="s">
        <v>1586</v>
      </c>
      <c r="H47" s="14" t="s">
        <v>1586</v>
      </c>
      <c r="I47" s="14" t="s">
        <v>1586</v>
      </c>
      <c r="J47" s="14" t="s">
        <v>1586</v>
      </c>
      <c r="K47" s="15">
        <v>1</v>
      </c>
      <c r="L47" s="14" t="s">
        <v>1586</v>
      </c>
      <c r="M47" s="14" t="s">
        <v>1586</v>
      </c>
      <c r="N47" s="15">
        <v>3</v>
      </c>
      <c r="O47" s="14" t="s">
        <v>1586</v>
      </c>
      <c r="P47" s="15">
        <v>3</v>
      </c>
      <c r="Q47" s="15">
        <v>2</v>
      </c>
      <c r="R47" s="15">
        <v>2</v>
      </c>
    </row>
    <row r="48" spans="1:18" ht="14.25">
      <c r="A48" s="6">
        <v>45</v>
      </c>
      <c r="B48" s="7" t="s">
        <v>104</v>
      </c>
      <c r="C48" s="8">
        <v>475</v>
      </c>
      <c r="D48" s="8">
        <v>2990</v>
      </c>
      <c r="E48" s="14" t="s">
        <v>1586</v>
      </c>
      <c r="F48" s="14" t="s">
        <v>1586</v>
      </c>
      <c r="G48" s="14" t="s">
        <v>1586</v>
      </c>
      <c r="H48" s="14" t="s">
        <v>1586</v>
      </c>
      <c r="I48" s="14" t="s">
        <v>1586</v>
      </c>
      <c r="J48" s="14" t="s">
        <v>1586</v>
      </c>
      <c r="K48" s="14" t="s">
        <v>1586</v>
      </c>
      <c r="L48" s="15">
        <v>1</v>
      </c>
      <c r="M48" s="14" t="s">
        <v>1586</v>
      </c>
      <c r="N48" s="15">
        <v>1</v>
      </c>
      <c r="O48" s="15">
        <v>2</v>
      </c>
      <c r="P48" s="14" t="s">
        <v>1586</v>
      </c>
      <c r="Q48" s="14" t="s">
        <v>1586</v>
      </c>
      <c r="R48" s="15">
        <v>1</v>
      </c>
    </row>
    <row r="49" spans="1:18" ht="14.25">
      <c r="A49" s="6">
        <v>46</v>
      </c>
      <c r="B49" s="7" t="s">
        <v>106</v>
      </c>
      <c r="C49" s="8">
        <v>2987.4</v>
      </c>
      <c r="D49" s="8">
        <v>2987.4</v>
      </c>
      <c r="E49" s="14" t="s">
        <v>1586</v>
      </c>
      <c r="F49" s="14" t="s">
        <v>1586</v>
      </c>
      <c r="G49" s="14" t="s">
        <v>1586</v>
      </c>
      <c r="H49" s="14" t="s">
        <v>1586</v>
      </c>
      <c r="I49" s="14" t="s">
        <v>1586</v>
      </c>
      <c r="J49" s="14" t="s">
        <v>1586</v>
      </c>
      <c r="K49" s="14" t="s">
        <v>1586</v>
      </c>
      <c r="L49" s="14" t="s">
        <v>1586</v>
      </c>
      <c r="M49" s="14" t="s">
        <v>1586</v>
      </c>
      <c r="N49" s="14" t="s">
        <v>1586</v>
      </c>
      <c r="O49" s="14" t="s">
        <v>1586</v>
      </c>
      <c r="P49" s="14" t="s">
        <v>1586</v>
      </c>
      <c r="Q49" s="14" t="s">
        <v>1586</v>
      </c>
      <c r="R49" s="15">
        <v>1</v>
      </c>
    </row>
    <row r="50" spans="1:18" ht="14.25">
      <c r="A50" s="6">
        <v>47</v>
      </c>
      <c r="B50" s="7" t="s">
        <v>108</v>
      </c>
      <c r="C50" s="8">
        <v>237.5</v>
      </c>
      <c r="D50" s="8">
        <v>2966</v>
      </c>
      <c r="E50" s="14" t="s">
        <v>1586</v>
      </c>
      <c r="F50" s="14" t="s">
        <v>1586</v>
      </c>
      <c r="G50" s="14" t="s">
        <v>1586</v>
      </c>
      <c r="H50" s="14" t="s">
        <v>1586</v>
      </c>
      <c r="I50" s="14" t="s">
        <v>1586</v>
      </c>
      <c r="J50" s="14" t="s">
        <v>1586</v>
      </c>
      <c r="K50" s="15">
        <v>1</v>
      </c>
      <c r="L50" s="14" t="s">
        <v>1586</v>
      </c>
      <c r="M50" s="15">
        <v>2</v>
      </c>
      <c r="N50" s="14" t="s">
        <v>1586</v>
      </c>
      <c r="O50" s="15">
        <v>2</v>
      </c>
      <c r="P50" s="15">
        <v>1</v>
      </c>
      <c r="Q50" s="15">
        <v>2</v>
      </c>
      <c r="R50" s="14" t="s">
        <v>1586</v>
      </c>
    </row>
    <row r="51" spans="1:18" ht="14.25">
      <c r="A51" s="6">
        <v>48</v>
      </c>
      <c r="B51" s="7" t="s">
        <v>110</v>
      </c>
      <c r="C51" s="8">
        <v>129.5</v>
      </c>
      <c r="D51" s="8">
        <v>2940</v>
      </c>
      <c r="E51" s="14" t="s">
        <v>1586</v>
      </c>
      <c r="F51" s="14" t="s">
        <v>1586</v>
      </c>
      <c r="G51" s="14" t="s">
        <v>1586</v>
      </c>
      <c r="H51" s="14" t="s">
        <v>1586</v>
      </c>
      <c r="I51" s="14" t="s">
        <v>1586</v>
      </c>
      <c r="J51" s="14" t="s">
        <v>1586</v>
      </c>
      <c r="K51" s="14" t="s">
        <v>1586</v>
      </c>
      <c r="L51" s="15">
        <v>2</v>
      </c>
      <c r="M51" s="14" t="s">
        <v>1586</v>
      </c>
      <c r="N51" s="15">
        <v>2</v>
      </c>
      <c r="O51" s="14" t="s">
        <v>1586</v>
      </c>
      <c r="P51" s="15">
        <v>2</v>
      </c>
      <c r="Q51" s="14" t="s">
        <v>1586</v>
      </c>
      <c r="R51" s="15">
        <v>2</v>
      </c>
    </row>
    <row r="52" spans="1:18" ht="14.25">
      <c r="A52" s="6">
        <v>49</v>
      </c>
      <c r="B52" s="7" t="s">
        <v>112</v>
      </c>
      <c r="C52" s="8">
        <v>197</v>
      </c>
      <c r="D52" s="8">
        <v>2896</v>
      </c>
      <c r="E52" s="14" t="s">
        <v>1586</v>
      </c>
      <c r="F52" s="14" t="s">
        <v>1586</v>
      </c>
      <c r="G52" s="14" t="s">
        <v>1586</v>
      </c>
      <c r="H52" s="14" t="s">
        <v>1586</v>
      </c>
      <c r="I52" s="14" t="s">
        <v>1586</v>
      </c>
      <c r="J52" s="14" t="s">
        <v>1586</v>
      </c>
      <c r="K52" s="14" t="s">
        <v>1586</v>
      </c>
      <c r="L52" s="14" t="s">
        <v>1586</v>
      </c>
      <c r="M52" s="14" t="s">
        <v>1586</v>
      </c>
      <c r="N52" s="15">
        <v>1</v>
      </c>
      <c r="O52" s="15">
        <v>3</v>
      </c>
      <c r="P52" s="14" t="s">
        <v>1586</v>
      </c>
      <c r="Q52" s="14" t="s">
        <v>1586</v>
      </c>
      <c r="R52" s="15">
        <v>1</v>
      </c>
    </row>
    <row r="53" spans="1:18" ht="14.25">
      <c r="A53" s="6">
        <v>50</v>
      </c>
      <c r="B53" s="7" t="s">
        <v>114</v>
      </c>
      <c r="C53" s="8">
        <v>295</v>
      </c>
      <c r="D53" s="8">
        <v>2820.5</v>
      </c>
      <c r="E53" s="14" t="s">
        <v>1586</v>
      </c>
      <c r="F53" s="14" t="s">
        <v>1586</v>
      </c>
      <c r="G53" s="14" t="s">
        <v>1586</v>
      </c>
      <c r="H53" s="14" t="s">
        <v>1586</v>
      </c>
      <c r="I53" s="14" t="s">
        <v>1586</v>
      </c>
      <c r="J53" s="14" t="s">
        <v>1586</v>
      </c>
      <c r="K53" s="14" t="s">
        <v>1586</v>
      </c>
      <c r="L53" s="15">
        <v>1</v>
      </c>
      <c r="M53" s="14" t="s">
        <v>1586</v>
      </c>
      <c r="N53" s="15">
        <v>1</v>
      </c>
      <c r="O53" s="14" t="s">
        <v>1586</v>
      </c>
      <c r="P53" s="15">
        <v>4</v>
      </c>
      <c r="Q53" s="14" t="s">
        <v>1586</v>
      </c>
      <c r="R53" s="14" t="s">
        <v>1586</v>
      </c>
    </row>
    <row r="54" spans="1:18" ht="14.25">
      <c r="A54" s="6">
        <v>51</v>
      </c>
      <c r="B54" s="7" t="s">
        <v>116</v>
      </c>
      <c r="C54" s="8">
        <v>136</v>
      </c>
      <c r="D54" s="8">
        <v>2780</v>
      </c>
      <c r="E54" s="14" t="s">
        <v>1586</v>
      </c>
      <c r="F54" s="14" t="s">
        <v>1586</v>
      </c>
      <c r="G54" s="14" t="s">
        <v>1586</v>
      </c>
      <c r="H54" s="14" t="s">
        <v>1586</v>
      </c>
      <c r="I54" s="14" t="s">
        <v>1586</v>
      </c>
      <c r="J54" s="14" t="s">
        <v>1586</v>
      </c>
      <c r="K54" s="14" t="s">
        <v>1586</v>
      </c>
      <c r="L54" s="14" t="s">
        <v>1586</v>
      </c>
      <c r="M54" s="14" t="s">
        <v>1586</v>
      </c>
      <c r="N54" s="15">
        <v>1</v>
      </c>
      <c r="O54" s="15">
        <v>2</v>
      </c>
      <c r="P54" s="14" t="s">
        <v>1586</v>
      </c>
      <c r="Q54" s="15">
        <v>1</v>
      </c>
      <c r="R54" s="15">
        <v>1</v>
      </c>
    </row>
    <row r="55" spans="1:18" ht="14.25">
      <c r="A55" s="6">
        <v>52</v>
      </c>
      <c r="B55" s="7" t="s">
        <v>118</v>
      </c>
      <c r="C55" s="8">
        <v>1700</v>
      </c>
      <c r="D55" s="8">
        <v>2679</v>
      </c>
      <c r="E55" s="14" t="s">
        <v>1586</v>
      </c>
      <c r="F55" s="14" t="s">
        <v>1586</v>
      </c>
      <c r="G55" s="14" t="s">
        <v>1586</v>
      </c>
      <c r="H55" s="14" t="s">
        <v>1586</v>
      </c>
      <c r="I55" s="14" t="s">
        <v>1586</v>
      </c>
      <c r="J55" s="14" t="s">
        <v>1586</v>
      </c>
      <c r="K55" s="14" t="s">
        <v>1586</v>
      </c>
      <c r="L55" s="14" t="s">
        <v>1586</v>
      </c>
      <c r="M55" s="14" t="s">
        <v>1586</v>
      </c>
      <c r="N55" s="15">
        <v>1</v>
      </c>
      <c r="O55" s="14" t="s">
        <v>1586</v>
      </c>
      <c r="P55" s="14" t="s">
        <v>1586</v>
      </c>
      <c r="Q55" s="15">
        <v>1</v>
      </c>
      <c r="R55" s="14" t="s">
        <v>1586</v>
      </c>
    </row>
    <row r="56" spans="1:18" ht="14.25">
      <c r="A56" s="6">
        <v>53</v>
      </c>
      <c r="B56" s="7" t="s">
        <v>120</v>
      </c>
      <c r="C56" s="8">
        <v>77.5</v>
      </c>
      <c r="D56" s="8">
        <v>2510</v>
      </c>
      <c r="E56" s="14" t="s">
        <v>1586</v>
      </c>
      <c r="F56" s="14" t="s">
        <v>1586</v>
      </c>
      <c r="G56" s="14" t="s">
        <v>1586</v>
      </c>
      <c r="H56" s="14" t="s">
        <v>1586</v>
      </c>
      <c r="I56" s="14" t="s">
        <v>1586</v>
      </c>
      <c r="J56" s="14" t="s">
        <v>1586</v>
      </c>
      <c r="K56" s="14" t="s">
        <v>1586</v>
      </c>
      <c r="L56" s="14" t="s">
        <v>1586</v>
      </c>
      <c r="M56" s="14" t="s">
        <v>1586</v>
      </c>
      <c r="N56" s="15">
        <v>1</v>
      </c>
      <c r="O56" s="15">
        <v>1</v>
      </c>
      <c r="P56" s="15">
        <v>2</v>
      </c>
      <c r="Q56" s="14" t="s">
        <v>1586</v>
      </c>
      <c r="R56" s="14" t="s">
        <v>1586</v>
      </c>
    </row>
    <row r="57" spans="1:18" ht="14.25">
      <c r="A57" s="6">
        <v>54</v>
      </c>
      <c r="B57" s="7" t="s">
        <v>122</v>
      </c>
      <c r="C57" s="8">
        <v>71</v>
      </c>
      <c r="D57" s="8">
        <v>2505</v>
      </c>
      <c r="E57" s="14" t="s">
        <v>1586</v>
      </c>
      <c r="F57" s="14" t="s">
        <v>1586</v>
      </c>
      <c r="G57" s="14" t="s">
        <v>1586</v>
      </c>
      <c r="H57" s="14" t="s">
        <v>1586</v>
      </c>
      <c r="I57" s="14" t="s">
        <v>1586</v>
      </c>
      <c r="J57" s="14" t="s">
        <v>1586</v>
      </c>
      <c r="K57" s="15">
        <v>1</v>
      </c>
      <c r="L57" s="14" t="s">
        <v>1586</v>
      </c>
      <c r="M57" s="14" t="s">
        <v>1586</v>
      </c>
      <c r="N57" s="15">
        <v>2</v>
      </c>
      <c r="O57" s="15">
        <v>2</v>
      </c>
      <c r="P57" s="15">
        <v>1</v>
      </c>
      <c r="Q57" s="14" t="s">
        <v>1586</v>
      </c>
      <c r="R57" s="15">
        <v>1</v>
      </c>
    </row>
    <row r="58" spans="1:18" ht="14.25">
      <c r="A58" s="6">
        <v>55</v>
      </c>
      <c r="B58" s="7" t="s">
        <v>124</v>
      </c>
      <c r="C58" s="8">
        <v>184</v>
      </c>
      <c r="D58" s="8">
        <v>2500</v>
      </c>
      <c r="E58" s="14" t="s">
        <v>1586</v>
      </c>
      <c r="F58" s="14" t="s">
        <v>1586</v>
      </c>
      <c r="G58" s="14" t="s">
        <v>1586</v>
      </c>
      <c r="H58" s="14" t="s">
        <v>1586</v>
      </c>
      <c r="I58" s="14" t="s">
        <v>1586</v>
      </c>
      <c r="J58" s="14" t="s">
        <v>1586</v>
      </c>
      <c r="K58" s="14" t="s">
        <v>1586</v>
      </c>
      <c r="L58" s="15">
        <v>1</v>
      </c>
      <c r="M58" s="14" t="s">
        <v>1586</v>
      </c>
      <c r="N58" s="14" t="s">
        <v>1586</v>
      </c>
      <c r="O58" s="14" t="s">
        <v>1586</v>
      </c>
      <c r="P58" s="14" t="s">
        <v>1586</v>
      </c>
      <c r="Q58" s="14" t="s">
        <v>1586</v>
      </c>
      <c r="R58" s="15">
        <v>1</v>
      </c>
    </row>
    <row r="59" spans="1:18" ht="14.25">
      <c r="A59" s="6">
        <v>56</v>
      </c>
      <c r="B59" s="7" t="s">
        <v>126</v>
      </c>
      <c r="C59" s="8">
        <v>627</v>
      </c>
      <c r="D59" s="8">
        <v>2400</v>
      </c>
      <c r="E59" s="14" t="s">
        <v>1586</v>
      </c>
      <c r="F59" s="14" t="s">
        <v>1586</v>
      </c>
      <c r="G59" s="14" t="s">
        <v>1586</v>
      </c>
      <c r="H59" s="14" t="s">
        <v>1586</v>
      </c>
      <c r="I59" s="14" t="s">
        <v>1586</v>
      </c>
      <c r="J59" s="14" t="s">
        <v>1586</v>
      </c>
      <c r="K59" s="14" t="s">
        <v>1586</v>
      </c>
      <c r="L59" s="14" t="s">
        <v>1586</v>
      </c>
      <c r="M59" s="15">
        <v>1</v>
      </c>
      <c r="N59" s="15">
        <v>1</v>
      </c>
      <c r="O59" s="14" t="s">
        <v>1586</v>
      </c>
      <c r="P59" s="14" t="s">
        <v>1586</v>
      </c>
      <c r="Q59" s="15">
        <v>1</v>
      </c>
      <c r="R59" s="14" t="s">
        <v>1586</v>
      </c>
    </row>
    <row r="60" spans="1:18" ht="14.25">
      <c r="A60" s="6">
        <v>57</v>
      </c>
      <c r="B60" s="7" t="s">
        <v>128</v>
      </c>
      <c r="C60" s="8">
        <v>101</v>
      </c>
      <c r="D60" s="8">
        <v>2400</v>
      </c>
      <c r="E60" s="14" t="s">
        <v>1586</v>
      </c>
      <c r="F60" s="14" t="s">
        <v>1586</v>
      </c>
      <c r="G60" s="14" t="s">
        <v>1586</v>
      </c>
      <c r="H60" s="14" t="s">
        <v>1586</v>
      </c>
      <c r="I60" s="14" t="s">
        <v>1586</v>
      </c>
      <c r="J60" s="14" t="s">
        <v>1586</v>
      </c>
      <c r="K60" s="14" t="s">
        <v>1586</v>
      </c>
      <c r="L60" s="14" t="s">
        <v>1586</v>
      </c>
      <c r="M60" s="15">
        <v>1</v>
      </c>
      <c r="N60" s="14" t="s">
        <v>1586</v>
      </c>
      <c r="O60" s="15">
        <v>2</v>
      </c>
      <c r="P60" s="15">
        <v>1</v>
      </c>
      <c r="Q60" s="15">
        <v>1</v>
      </c>
      <c r="R60" s="15">
        <v>3</v>
      </c>
    </row>
    <row r="61" spans="1:18" ht="14.25">
      <c r="A61" s="6">
        <v>58</v>
      </c>
      <c r="B61" s="7" t="s">
        <v>130</v>
      </c>
      <c r="C61" s="8">
        <v>1500</v>
      </c>
      <c r="D61" s="8">
        <v>2360</v>
      </c>
      <c r="E61" s="14" t="s">
        <v>1586</v>
      </c>
      <c r="F61" s="14" t="s">
        <v>1586</v>
      </c>
      <c r="G61" s="14" t="s">
        <v>1586</v>
      </c>
      <c r="H61" s="14" t="s">
        <v>1586</v>
      </c>
      <c r="I61" s="14" t="s">
        <v>1586</v>
      </c>
      <c r="J61" s="14" t="s">
        <v>1586</v>
      </c>
      <c r="K61" s="14" t="s">
        <v>1586</v>
      </c>
      <c r="L61" s="15">
        <v>1</v>
      </c>
      <c r="M61" s="14" t="s">
        <v>1586</v>
      </c>
      <c r="N61" s="14" t="s">
        <v>1586</v>
      </c>
      <c r="O61" s="14" t="s">
        <v>1586</v>
      </c>
      <c r="P61" s="14" t="s">
        <v>1586</v>
      </c>
      <c r="Q61" s="15">
        <v>1</v>
      </c>
      <c r="R61" s="14" t="s">
        <v>1586</v>
      </c>
    </row>
    <row r="62" spans="1:18" ht="14.25">
      <c r="A62" s="6">
        <v>59</v>
      </c>
      <c r="B62" s="7" t="s">
        <v>132</v>
      </c>
      <c r="C62" s="8">
        <v>128.5</v>
      </c>
      <c r="D62" s="8">
        <v>2230</v>
      </c>
      <c r="E62" s="14" t="s">
        <v>1586</v>
      </c>
      <c r="F62" s="14" t="s">
        <v>1586</v>
      </c>
      <c r="G62" s="14" t="s">
        <v>1586</v>
      </c>
      <c r="H62" s="14" t="s">
        <v>1586</v>
      </c>
      <c r="I62" s="14" t="s">
        <v>1586</v>
      </c>
      <c r="J62" s="14" t="s">
        <v>1586</v>
      </c>
      <c r="K62" s="14" t="s">
        <v>1586</v>
      </c>
      <c r="L62" s="15">
        <v>1</v>
      </c>
      <c r="M62" s="15">
        <v>3</v>
      </c>
      <c r="N62" s="14" t="s">
        <v>1586</v>
      </c>
      <c r="O62" s="14" t="s">
        <v>1586</v>
      </c>
      <c r="P62" s="15">
        <v>4</v>
      </c>
      <c r="Q62" s="15">
        <v>2</v>
      </c>
      <c r="R62" s="15">
        <v>2</v>
      </c>
    </row>
    <row r="63" spans="1:18" ht="14.25">
      <c r="A63" s="6">
        <v>60</v>
      </c>
      <c r="B63" s="7" t="s">
        <v>134</v>
      </c>
      <c r="C63" s="8">
        <v>1268</v>
      </c>
      <c r="D63" s="8">
        <v>2174</v>
      </c>
      <c r="E63" s="14" t="s">
        <v>1586</v>
      </c>
      <c r="F63" s="14" t="s">
        <v>1586</v>
      </c>
      <c r="G63" s="14" t="s">
        <v>1586</v>
      </c>
      <c r="H63" s="14" t="s">
        <v>1586</v>
      </c>
      <c r="I63" s="15">
        <v>1</v>
      </c>
      <c r="J63" s="14" t="s">
        <v>1586</v>
      </c>
      <c r="K63" s="14" t="s">
        <v>1586</v>
      </c>
      <c r="L63" s="15">
        <v>1</v>
      </c>
      <c r="M63" s="14" t="s">
        <v>1586</v>
      </c>
      <c r="N63" s="14" t="s">
        <v>1586</v>
      </c>
      <c r="O63" s="14" t="s">
        <v>1586</v>
      </c>
      <c r="P63" s="14" t="s">
        <v>1586</v>
      </c>
      <c r="Q63" s="14" t="s">
        <v>1586</v>
      </c>
      <c r="R63" s="15">
        <v>1</v>
      </c>
    </row>
    <row r="64" spans="1:18" ht="14.25">
      <c r="A64" s="6">
        <v>61</v>
      </c>
      <c r="B64" s="7" t="s">
        <v>136</v>
      </c>
      <c r="C64" s="8">
        <v>217.5</v>
      </c>
      <c r="D64" s="8">
        <v>2160</v>
      </c>
      <c r="E64" s="14" t="s">
        <v>1586</v>
      </c>
      <c r="F64" s="14" t="s">
        <v>1586</v>
      </c>
      <c r="G64" s="14" t="s">
        <v>1586</v>
      </c>
      <c r="H64" s="14" t="s">
        <v>1586</v>
      </c>
      <c r="I64" s="14" t="s">
        <v>1586</v>
      </c>
      <c r="J64" s="14" t="s">
        <v>1586</v>
      </c>
      <c r="K64" s="14" t="s">
        <v>1586</v>
      </c>
      <c r="L64" s="14" t="s">
        <v>1586</v>
      </c>
      <c r="M64" s="15">
        <v>3</v>
      </c>
      <c r="N64" s="15">
        <v>1</v>
      </c>
      <c r="O64" s="15">
        <v>4</v>
      </c>
      <c r="P64" s="14" t="s">
        <v>1586</v>
      </c>
      <c r="Q64" s="14" t="s">
        <v>1586</v>
      </c>
      <c r="R64" s="15">
        <v>2</v>
      </c>
    </row>
    <row r="65" spans="1:18" ht="14.25">
      <c r="A65" s="6">
        <v>62</v>
      </c>
      <c r="B65" s="7" t="s">
        <v>138</v>
      </c>
      <c r="C65" s="8">
        <v>1000</v>
      </c>
      <c r="D65" s="8">
        <v>2113</v>
      </c>
      <c r="E65" s="14" t="s">
        <v>1586</v>
      </c>
      <c r="F65" s="14" t="s">
        <v>1586</v>
      </c>
      <c r="G65" s="14" t="s">
        <v>1586</v>
      </c>
      <c r="H65" s="14" t="s">
        <v>1586</v>
      </c>
      <c r="I65" s="14" t="s">
        <v>1586</v>
      </c>
      <c r="J65" s="14" t="s">
        <v>1586</v>
      </c>
      <c r="K65" s="14" t="s">
        <v>1586</v>
      </c>
      <c r="L65" s="15">
        <v>1</v>
      </c>
      <c r="M65" s="14" t="s">
        <v>1586</v>
      </c>
      <c r="N65" s="15">
        <v>1</v>
      </c>
      <c r="O65" s="14" t="s">
        <v>1586</v>
      </c>
      <c r="P65" s="14" t="s">
        <v>1586</v>
      </c>
      <c r="Q65" s="14" t="s">
        <v>1586</v>
      </c>
      <c r="R65" s="15">
        <v>1</v>
      </c>
    </row>
    <row r="66" spans="1:18" ht="14.25">
      <c r="A66" s="6">
        <v>63</v>
      </c>
      <c r="B66" s="7" t="s">
        <v>140</v>
      </c>
      <c r="C66" s="8">
        <v>28</v>
      </c>
      <c r="D66" s="8">
        <v>2035</v>
      </c>
      <c r="E66" s="14" t="s">
        <v>1586</v>
      </c>
      <c r="F66" s="14" t="s">
        <v>1586</v>
      </c>
      <c r="G66" s="14" t="s">
        <v>1586</v>
      </c>
      <c r="H66" s="14" t="s">
        <v>1586</v>
      </c>
      <c r="I66" s="14" t="s">
        <v>1586</v>
      </c>
      <c r="J66" s="14" t="s">
        <v>1586</v>
      </c>
      <c r="K66" s="14" t="s">
        <v>1586</v>
      </c>
      <c r="L66" s="15">
        <v>1</v>
      </c>
      <c r="M66" s="14" t="s">
        <v>1586</v>
      </c>
      <c r="N66" s="15">
        <v>1</v>
      </c>
      <c r="O66" s="15">
        <v>1</v>
      </c>
      <c r="P66" s="14" t="s">
        <v>1586</v>
      </c>
      <c r="Q66" s="14" t="s">
        <v>1586</v>
      </c>
      <c r="R66" s="14" t="s">
        <v>1586</v>
      </c>
    </row>
    <row r="67" spans="1:18" ht="14.25">
      <c r="A67" s="6">
        <v>64</v>
      </c>
      <c r="B67" s="7" t="s">
        <v>142</v>
      </c>
      <c r="C67" s="8">
        <v>101</v>
      </c>
      <c r="D67" s="8">
        <v>2012</v>
      </c>
      <c r="E67" s="14" t="s">
        <v>1586</v>
      </c>
      <c r="F67" s="14" t="s">
        <v>1586</v>
      </c>
      <c r="G67" s="14" t="s">
        <v>1586</v>
      </c>
      <c r="H67" s="14" t="s">
        <v>1586</v>
      </c>
      <c r="I67" s="14" t="s">
        <v>1586</v>
      </c>
      <c r="J67" s="15">
        <v>1</v>
      </c>
      <c r="K67" s="14" t="s">
        <v>1586</v>
      </c>
      <c r="L67" s="14" t="s">
        <v>1586</v>
      </c>
      <c r="M67" s="14" t="s">
        <v>1586</v>
      </c>
      <c r="N67" s="14" t="s">
        <v>1586</v>
      </c>
      <c r="O67" s="15">
        <v>2</v>
      </c>
      <c r="P67" s="15">
        <v>1</v>
      </c>
      <c r="Q67" s="15">
        <v>1</v>
      </c>
      <c r="R67" s="15">
        <v>2</v>
      </c>
    </row>
    <row r="68" spans="1:18" ht="14.25">
      <c r="A68" s="6">
        <v>65</v>
      </c>
      <c r="B68" s="7" t="s">
        <v>144</v>
      </c>
      <c r="C68" s="8">
        <v>355.5</v>
      </c>
      <c r="D68" s="8">
        <v>2000</v>
      </c>
      <c r="E68" s="14" t="s">
        <v>1586</v>
      </c>
      <c r="F68" s="14" t="s">
        <v>1586</v>
      </c>
      <c r="G68" s="14" t="s">
        <v>1586</v>
      </c>
      <c r="H68" s="14" t="s">
        <v>1586</v>
      </c>
      <c r="I68" s="14" t="s">
        <v>1586</v>
      </c>
      <c r="J68" s="14" t="s">
        <v>1586</v>
      </c>
      <c r="K68" s="14" t="s">
        <v>1586</v>
      </c>
      <c r="L68" s="14" t="s">
        <v>1586</v>
      </c>
      <c r="M68" s="14" t="s">
        <v>1586</v>
      </c>
      <c r="N68" s="15">
        <v>2</v>
      </c>
      <c r="O68" s="15">
        <v>1</v>
      </c>
      <c r="P68" s="14" t="s">
        <v>1586</v>
      </c>
      <c r="Q68" s="15">
        <v>1</v>
      </c>
      <c r="R68" s="14" t="s">
        <v>1586</v>
      </c>
    </row>
    <row r="69" spans="1:18" ht="14.25">
      <c r="A69" s="6">
        <v>66</v>
      </c>
      <c r="B69" s="7" t="s">
        <v>145</v>
      </c>
      <c r="C69" s="8">
        <v>500</v>
      </c>
      <c r="D69" s="8">
        <v>2000</v>
      </c>
      <c r="E69" s="14" t="s">
        <v>1586</v>
      </c>
      <c r="F69" s="14" t="s">
        <v>1586</v>
      </c>
      <c r="G69" s="14" t="s">
        <v>1586</v>
      </c>
      <c r="H69" s="14" t="s">
        <v>1586</v>
      </c>
      <c r="I69" s="14" t="s">
        <v>1586</v>
      </c>
      <c r="J69" s="14" t="s">
        <v>1586</v>
      </c>
      <c r="K69" s="14" t="s">
        <v>1586</v>
      </c>
      <c r="L69" s="14" t="s">
        <v>1586</v>
      </c>
      <c r="M69" s="14" t="s">
        <v>1586</v>
      </c>
      <c r="N69" s="15">
        <v>1</v>
      </c>
      <c r="O69" s="14" t="s">
        <v>1586</v>
      </c>
      <c r="P69" s="15">
        <v>1</v>
      </c>
      <c r="Q69" s="14" t="s">
        <v>1586</v>
      </c>
      <c r="R69" s="15">
        <v>1</v>
      </c>
    </row>
    <row r="70" spans="1:18" ht="14.25">
      <c r="A70" s="6">
        <v>67</v>
      </c>
      <c r="B70" s="7" t="s">
        <v>147</v>
      </c>
      <c r="C70" s="8">
        <v>592</v>
      </c>
      <c r="D70" s="8">
        <v>1945</v>
      </c>
      <c r="E70" s="14" t="s">
        <v>1586</v>
      </c>
      <c r="F70" s="14" t="s">
        <v>1586</v>
      </c>
      <c r="G70" s="14" t="s">
        <v>1586</v>
      </c>
      <c r="H70" s="14" t="s">
        <v>1586</v>
      </c>
      <c r="I70" s="14" t="s">
        <v>1586</v>
      </c>
      <c r="J70" s="14" t="s">
        <v>1586</v>
      </c>
      <c r="K70" s="14" t="s">
        <v>1586</v>
      </c>
      <c r="L70" s="14" t="s">
        <v>1586</v>
      </c>
      <c r="M70" s="14" t="s">
        <v>1586</v>
      </c>
      <c r="N70" s="15">
        <v>1</v>
      </c>
      <c r="O70" s="15">
        <v>2</v>
      </c>
      <c r="P70" s="14" t="s">
        <v>1586</v>
      </c>
      <c r="Q70" s="14" t="s">
        <v>1586</v>
      </c>
      <c r="R70" s="15">
        <v>1</v>
      </c>
    </row>
    <row r="71" spans="1:18" ht="14.25">
      <c r="A71" s="6">
        <v>68</v>
      </c>
      <c r="B71" s="7" t="s">
        <v>149</v>
      </c>
      <c r="C71" s="8">
        <v>200</v>
      </c>
      <c r="D71" s="8">
        <v>1888</v>
      </c>
      <c r="E71" s="14" t="s">
        <v>1586</v>
      </c>
      <c r="F71" s="14" t="s">
        <v>1586</v>
      </c>
      <c r="G71" s="14" t="s">
        <v>1586</v>
      </c>
      <c r="H71" s="14" t="s">
        <v>1586</v>
      </c>
      <c r="I71" s="14" t="s">
        <v>1586</v>
      </c>
      <c r="J71" s="14" t="s">
        <v>1586</v>
      </c>
      <c r="K71" s="14" t="s">
        <v>1586</v>
      </c>
      <c r="L71" s="14" t="s">
        <v>1586</v>
      </c>
      <c r="M71" s="15">
        <v>1</v>
      </c>
      <c r="N71" s="15">
        <v>1</v>
      </c>
      <c r="O71" s="15">
        <v>1</v>
      </c>
      <c r="P71" s="15">
        <v>1</v>
      </c>
      <c r="Q71" s="15">
        <v>1</v>
      </c>
      <c r="R71" s="14" t="s">
        <v>1586</v>
      </c>
    </row>
    <row r="72" spans="1:18" ht="14.25">
      <c r="A72" s="6">
        <v>69</v>
      </c>
      <c r="B72" s="7" t="s">
        <v>151</v>
      </c>
      <c r="C72" s="8">
        <v>471.2</v>
      </c>
      <c r="D72" s="8">
        <v>1819</v>
      </c>
      <c r="E72" s="14" t="s">
        <v>1586</v>
      </c>
      <c r="F72" s="14" t="s">
        <v>1586</v>
      </c>
      <c r="G72" s="14" t="s">
        <v>1586</v>
      </c>
      <c r="H72" s="14" t="s">
        <v>1586</v>
      </c>
      <c r="I72" s="14" t="s">
        <v>1586</v>
      </c>
      <c r="J72" s="14" t="s">
        <v>1586</v>
      </c>
      <c r="K72" s="14" t="s">
        <v>1586</v>
      </c>
      <c r="L72" s="14" t="s">
        <v>1586</v>
      </c>
      <c r="M72" s="14" t="s">
        <v>1586</v>
      </c>
      <c r="N72" s="14" t="s">
        <v>1586</v>
      </c>
      <c r="O72" s="14" t="s">
        <v>1586</v>
      </c>
      <c r="P72" s="15">
        <v>4</v>
      </c>
      <c r="Q72" s="14" t="s">
        <v>1586</v>
      </c>
      <c r="R72" s="14" t="s">
        <v>1586</v>
      </c>
    </row>
    <row r="73" spans="1:18" ht="14.25">
      <c r="A73" s="6">
        <v>70</v>
      </c>
      <c r="B73" s="7" t="s">
        <v>153</v>
      </c>
      <c r="C73" s="8">
        <v>561</v>
      </c>
      <c r="D73" s="8">
        <v>1813</v>
      </c>
      <c r="E73" s="14" t="s">
        <v>1586</v>
      </c>
      <c r="F73" s="14" t="s">
        <v>1586</v>
      </c>
      <c r="G73" s="14" t="s">
        <v>1586</v>
      </c>
      <c r="H73" s="14" t="s">
        <v>1586</v>
      </c>
      <c r="I73" s="14" t="s">
        <v>1586</v>
      </c>
      <c r="J73" s="15">
        <v>1</v>
      </c>
      <c r="K73" s="14" t="s">
        <v>1586</v>
      </c>
      <c r="L73" s="14" t="s">
        <v>1586</v>
      </c>
      <c r="M73" s="14" t="s">
        <v>1586</v>
      </c>
      <c r="N73" s="14" t="s">
        <v>1586</v>
      </c>
      <c r="O73" s="14" t="s">
        <v>1586</v>
      </c>
      <c r="P73" s="14" t="s">
        <v>1586</v>
      </c>
      <c r="Q73" s="14" t="s">
        <v>1586</v>
      </c>
      <c r="R73" s="15">
        <v>1</v>
      </c>
    </row>
    <row r="74" spans="1:18" ht="14.25">
      <c r="A74" s="6">
        <v>71</v>
      </c>
      <c r="B74" s="7" t="s">
        <v>155</v>
      </c>
      <c r="C74" s="8">
        <v>37.5</v>
      </c>
      <c r="D74" s="8">
        <v>1800</v>
      </c>
      <c r="E74" s="14" t="s">
        <v>1586</v>
      </c>
      <c r="F74" s="14" t="s">
        <v>1586</v>
      </c>
      <c r="G74" s="14" t="s">
        <v>1586</v>
      </c>
      <c r="H74" s="14" t="s">
        <v>1586</v>
      </c>
      <c r="I74" s="15">
        <v>1</v>
      </c>
      <c r="J74" s="14" t="s">
        <v>1586</v>
      </c>
      <c r="K74" s="15">
        <v>1</v>
      </c>
      <c r="L74" s="14" t="s">
        <v>1586</v>
      </c>
      <c r="M74" s="14" t="s">
        <v>1586</v>
      </c>
      <c r="N74" s="15">
        <v>2</v>
      </c>
      <c r="O74" s="15">
        <v>2</v>
      </c>
      <c r="P74" s="15">
        <v>4</v>
      </c>
      <c r="Q74" s="15">
        <v>1</v>
      </c>
      <c r="R74" s="15">
        <v>3</v>
      </c>
    </row>
    <row r="75" spans="1:18" ht="14.25">
      <c r="A75" s="6">
        <v>72</v>
      </c>
      <c r="B75" s="7" t="s">
        <v>157</v>
      </c>
      <c r="C75" s="8">
        <v>1780</v>
      </c>
      <c r="D75" s="8">
        <v>1780</v>
      </c>
      <c r="E75" s="14" t="s">
        <v>1586</v>
      </c>
      <c r="F75" s="14" t="s">
        <v>1586</v>
      </c>
      <c r="G75" s="14" t="s">
        <v>1586</v>
      </c>
      <c r="H75" s="14" t="s">
        <v>1586</v>
      </c>
      <c r="I75" s="14" t="s">
        <v>1586</v>
      </c>
      <c r="J75" s="14" t="s">
        <v>1586</v>
      </c>
      <c r="K75" s="14" t="s">
        <v>1586</v>
      </c>
      <c r="L75" s="14" t="s">
        <v>1586</v>
      </c>
      <c r="M75" s="14" t="s">
        <v>1586</v>
      </c>
      <c r="N75" s="14" t="s">
        <v>1586</v>
      </c>
      <c r="O75" s="14" t="s">
        <v>1586</v>
      </c>
      <c r="P75" s="14" t="s">
        <v>1586</v>
      </c>
      <c r="Q75" s="15">
        <v>1</v>
      </c>
      <c r="R75" s="14" t="s">
        <v>1586</v>
      </c>
    </row>
    <row r="76" spans="1:18" ht="14.25">
      <c r="A76" s="6">
        <v>73</v>
      </c>
      <c r="B76" s="7" t="s">
        <v>159</v>
      </c>
      <c r="C76" s="8">
        <v>168.3</v>
      </c>
      <c r="D76" s="8">
        <v>1770</v>
      </c>
      <c r="E76" s="14" t="s">
        <v>1586</v>
      </c>
      <c r="F76" s="14" t="s">
        <v>1586</v>
      </c>
      <c r="G76" s="14" t="s">
        <v>1586</v>
      </c>
      <c r="H76" s="14" t="s">
        <v>1586</v>
      </c>
      <c r="I76" s="14" t="s">
        <v>1586</v>
      </c>
      <c r="J76" s="14" t="s">
        <v>1586</v>
      </c>
      <c r="K76" s="14" t="s">
        <v>1586</v>
      </c>
      <c r="L76" s="15">
        <v>1</v>
      </c>
      <c r="M76" s="14" t="s">
        <v>1586</v>
      </c>
      <c r="N76" s="14" t="s">
        <v>1586</v>
      </c>
      <c r="O76" s="15">
        <v>2</v>
      </c>
      <c r="P76" s="15">
        <v>1</v>
      </c>
      <c r="Q76" s="15">
        <v>1</v>
      </c>
      <c r="R76" s="15">
        <v>1</v>
      </c>
    </row>
    <row r="77" spans="1:18" ht="14.25">
      <c r="A77" s="6">
        <v>74</v>
      </c>
      <c r="B77" s="7" t="s">
        <v>161</v>
      </c>
      <c r="C77" s="8">
        <v>1002</v>
      </c>
      <c r="D77" s="8">
        <v>1720</v>
      </c>
      <c r="E77" s="14" t="s">
        <v>1586</v>
      </c>
      <c r="F77" s="14" t="s">
        <v>1586</v>
      </c>
      <c r="G77" s="14" t="s">
        <v>1586</v>
      </c>
      <c r="H77" s="14" t="s">
        <v>1586</v>
      </c>
      <c r="I77" s="14" t="s">
        <v>1586</v>
      </c>
      <c r="J77" s="14" t="s">
        <v>1586</v>
      </c>
      <c r="K77" s="14" t="s">
        <v>1586</v>
      </c>
      <c r="L77" s="14" t="s">
        <v>1586</v>
      </c>
      <c r="M77" s="14" t="s">
        <v>1586</v>
      </c>
      <c r="N77" s="14" t="s">
        <v>1586</v>
      </c>
      <c r="O77" s="15">
        <v>2</v>
      </c>
      <c r="P77" s="14" t="s">
        <v>1586</v>
      </c>
      <c r="Q77" s="14" t="s">
        <v>1586</v>
      </c>
      <c r="R77" s="15">
        <v>2</v>
      </c>
    </row>
    <row r="78" spans="1:18" ht="14.25">
      <c r="A78" s="6">
        <v>75</v>
      </c>
      <c r="B78" s="7" t="s">
        <v>163</v>
      </c>
      <c r="C78" s="8">
        <v>51</v>
      </c>
      <c r="D78" s="8">
        <v>1652.4</v>
      </c>
      <c r="E78" s="14" t="s">
        <v>1586</v>
      </c>
      <c r="F78" s="14" t="s">
        <v>1586</v>
      </c>
      <c r="G78" s="14" t="s">
        <v>1586</v>
      </c>
      <c r="H78" s="14" t="s">
        <v>1586</v>
      </c>
      <c r="I78" s="14" t="s">
        <v>1586</v>
      </c>
      <c r="J78" s="14" t="s">
        <v>1586</v>
      </c>
      <c r="K78" s="14" t="s">
        <v>1586</v>
      </c>
      <c r="L78" s="15">
        <v>2</v>
      </c>
      <c r="M78" s="15">
        <v>1</v>
      </c>
      <c r="N78" s="14" t="s">
        <v>1586</v>
      </c>
      <c r="O78" s="15">
        <v>1</v>
      </c>
      <c r="P78" s="15">
        <v>4</v>
      </c>
      <c r="Q78" s="15">
        <v>1</v>
      </c>
      <c r="R78" s="15">
        <v>2</v>
      </c>
    </row>
    <row r="79" spans="1:18" ht="14.25">
      <c r="A79" s="6">
        <v>76</v>
      </c>
      <c r="B79" s="7" t="s">
        <v>165</v>
      </c>
      <c r="C79" s="8">
        <v>95</v>
      </c>
      <c r="D79" s="8">
        <v>1641</v>
      </c>
      <c r="E79" s="14" t="s">
        <v>1586</v>
      </c>
      <c r="F79" s="14" t="s">
        <v>1586</v>
      </c>
      <c r="G79" s="14" t="s">
        <v>1586</v>
      </c>
      <c r="H79" s="14" t="s">
        <v>1586</v>
      </c>
      <c r="I79" s="14" t="s">
        <v>1586</v>
      </c>
      <c r="J79" s="14" t="s">
        <v>1586</v>
      </c>
      <c r="K79" s="14" t="s">
        <v>1586</v>
      </c>
      <c r="L79" s="14" t="s">
        <v>1586</v>
      </c>
      <c r="M79" s="15">
        <v>1</v>
      </c>
      <c r="N79" s="14" t="s">
        <v>1586</v>
      </c>
      <c r="O79" s="15">
        <v>1</v>
      </c>
      <c r="P79" s="14" t="s">
        <v>1586</v>
      </c>
      <c r="Q79" s="15">
        <v>1</v>
      </c>
      <c r="R79" s="14" t="s">
        <v>1586</v>
      </c>
    </row>
    <row r="80" spans="1:18" ht="14.25">
      <c r="A80" s="6">
        <v>77</v>
      </c>
      <c r="B80" s="7" t="s">
        <v>167</v>
      </c>
      <c r="C80" s="8">
        <v>150</v>
      </c>
      <c r="D80" s="8">
        <v>1620</v>
      </c>
      <c r="E80" s="14" t="s">
        <v>1586</v>
      </c>
      <c r="F80" s="14" t="s">
        <v>1586</v>
      </c>
      <c r="G80" s="14" t="s">
        <v>1586</v>
      </c>
      <c r="H80" s="14" t="s">
        <v>1586</v>
      </c>
      <c r="I80" s="14" t="s">
        <v>1586</v>
      </c>
      <c r="J80" s="14" t="s">
        <v>1586</v>
      </c>
      <c r="K80" s="14" t="s">
        <v>1586</v>
      </c>
      <c r="L80" s="15">
        <v>1</v>
      </c>
      <c r="M80" s="15">
        <v>1</v>
      </c>
      <c r="N80" s="15">
        <v>2</v>
      </c>
      <c r="O80" s="15">
        <v>4</v>
      </c>
      <c r="P80" s="15">
        <v>2</v>
      </c>
      <c r="Q80" s="15">
        <v>3</v>
      </c>
      <c r="R80" s="15">
        <v>2</v>
      </c>
    </row>
    <row r="81" spans="1:18" ht="14.25">
      <c r="A81" s="6">
        <v>78</v>
      </c>
      <c r="B81" s="7" t="s">
        <v>169</v>
      </c>
      <c r="C81" s="8">
        <v>805</v>
      </c>
      <c r="D81" s="8">
        <v>1605</v>
      </c>
      <c r="E81" s="14" t="s">
        <v>1586</v>
      </c>
      <c r="F81" s="14" t="s">
        <v>1586</v>
      </c>
      <c r="G81" s="14" t="s">
        <v>1586</v>
      </c>
      <c r="H81" s="14" t="s">
        <v>1586</v>
      </c>
      <c r="I81" s="14" t="s">
        <v>1586</v>
      </c>
      <c r="J81" s="14" t="s">
        <v>1586</v>
      </c>
      <c r="K81" s="14" t="s">
        <v>1586</v>
      </c>
      <c r="L81" s="14" t="s">
        <v>1586</v>
      </c>
      <c r="M81" s="14" t="s">
        <v>1586</v>
      </c>
      <c r="N81" s="14" t="s">
        <v>1586</v>
      </c>
      <c r="O81" s="15">
        <v>1</v>
      </c>
      <c r="P81" s="15">
        <v>1</v>
      </c>
      <c r="Q81" s="14" t="s">
        <v>1586</v>
      </c>
      <c r="R81" s="14" t="s">
        <v>1586</v>
      </c>
    </row>
    <row r="82" spans="1:18" ht="14.25">
      <c r="A82" s="6">
        <v>79</v>
      </c>
      <c r="B82" s="7" t="s">
        <v>171</v>
      </c>
      <c r="C82" s="8">
        <v>420</v>
      </c>
      <c r="D82" s="8">
        <v>1591</v>
      </c>
      <c r="E82" s="14" t="s">
        <v>1586</v>
      </c>
      <c r="F82" s="14" t="s">
        <v>1586</v>
      </c>
      <c r="G82" s="14" t="s">
        <v>1586</v>
      </c>
      <c r="H82" s="14" t="s">
        <v>1586</v>
      </c>
      <c r="I82" s="14" t="s">
        <v>1586</v>
      </c>
      <c r="J82" s="15">
        <v>1</v>
      </c>
      <c r="K82" s="14" t="s">
        <v>1586</v>
      </c>
      <c r="L82" s="14" t="s">
        <v>1586</v>
      </c>
      <c r="M82" s="15">
        <v>1</v>
      </c>
      <c r="N82" s="14" t="s">
        <v>1586</v>
      </c>
      <c r="O82" s="15">
        <v>1</v>
      </c>
      <c r="P82" s="14" t="s">
        <v>1586</v>
      </c>
      <c r="Q82" s="14" t="s">
        <v>1586</v>
      </c>
      <c r="R82" s="14" t="s">
        <v>1586</v>
      </c>
    </row>
    <row r="83" spans="1:18" ht="14.25">
      <c r="A83" s="6">
        <v>80</v>
      </c>
      <c r="B83" s="7" t="s">
        <v>173</v>
      </c>
      <c r="C83" s="8">
        <v>879.1</v>
      </c>
      <c r="D83" s="8">
        <v>1531</v>
      </c>
      <c r="E83" s="14" t="s">
        <v>1586</v>
      </c>
      <c r="F83" s="14" t="s">
        <v>1586</v>
      </c>
      <c r="G83" s="14" t="s">
        <v>1586</v>
      </c>
      <c r="H83" s="14" t="s">
        <v>1586</v>
      </c>
      <c r="I83" s="14" t="s">
        <v>1586</v>
      </c>
      <c r="J83" s="15">
        <v>1</v>
      </c>
      <c r="K83" s="14" t="s">
        <v>1586</v>
      </c>
      <c r="L83" s="14" t="s">
        <v>1586</v>
      </c>
      <c r="M83" s="14" t="s">
        <v>1586</v>
      </c>
      <c r="N83" s="14" t="s">
        <v>1586</v>
      </c>
      <c r="O83" s="14" t="s">
        <v>1586</v>
      </c>
      <c r="P83" s="14" t="s">
        <v>1586</v>
      </c>
      <c r="Q83" s="15">
        <v>1</v>
      </c>
      <c r="R83" s="14" t="s">
        <v>1586</v>
      </c>
    </row>
    <row r="84" spans="1:18" ht="14.25">
      <c r="A84" s="6">
        <v>81</v>
      </c>
      <c r="B84" s="7" t="s">
        <v>175</v>
      </c>
      <c r="C84" s="8">
        <v>1502</v>
      </c>
      <c r="D84" s="8">
        <v>1502</v>
      </c>
      <c r="E84" s="14" t="s">
        <v>1586</v>
      </c>
      <c r="F84" s="14" t="s">
        <v>1586</v>
      </c>
      <c r="G84" s="14" t="s">
        <v>1586</v>
      </c>
      <c r="H84" s="14" t="s">
        <v>1586</v>
      </c>
      <c r="I84" s="14" t="s">
        <v>1586</v>
      </c>
      <c r="J84" s="14" t="s">
        <v>1586</v>
      </c>
      <c r="K84" s="14" t="s">
        <v>1586</v>
      </c>
      <c r="L84" s="14" t="s">
        <v>1586</v>
      </c>
      <c r="M84" s="14" t="s">
        <v>1586</v>
      </c>
      <c r="N84" s="14" t="s">
        <v>1586</v>
      </c>
      <c r="O84" s="14" t="s">
        <v>1586</v>
      </c>
      <c r="P84" s="14" t="s">
        <v>1586</v>
      </c>
      <c r="Q84" s="14" t="s">
        <v>1586</v>
      </c>
      <c r="R84" s="15">
        <v>1</v>
      </c>
    </row>
    <row r="85" spans="1:18" ht="14.25">
      <c r="A85" s="6">
        <v>82</v>
      </c>
      <c r="B85" s="7" t="s">
        <v>177</v>
      </c>
      <c r="C85" s="8">
        <v>1500</v>
      </c>
      <c r="D85" s="8">
        <v>1500</v>
      </c>
      <c r="E85" s="14" t="s">
        <v>1586</v>
      </c>
      <c r="F85" s="14" t="s">
        <v>1586</v>
      </c>
      <c r="G85" s="14" t="s">
        <v>1586</v>
      </c>
      <c r="H85" s="14" t="s">
        <v>1586</v>
      </c>
      <c r="I85" s="14" t="s">
        <v>1586</v>
      </c>
      <c r="J85" s="14" t="s">
        <v>1586</v>
      </c>
      <c r="K85" s="14" t="s">
        <v>1586</v>
      </c>
      <c r="L85" s="14" t="s">
        <v>1586</v>
      </c>
      <c r="M85" s="14" t="s">
        <v>1586</v>
      </c>
      <c r="N85" s="14" t="s">
        <v>1586</v>
      </c>
      <c r="O85" s="14" t="s">
        <v>1586</v>
      </c>
      <c r="P85" s="14" t="s">
        <v>1586</v>
      </c>
      <c r="Q85" s="15">
        <v>1</v>
      </c>
      <c r="R85" s="14" t="s">
        <v>1586</v>
      </c>
    </row>
    <row r="86" spans="1:18" ht="14.25">
      <c r="A86" s="6">
        <v>83</v>
      </c>
      <c r="B86" s="7" t="s">
        <v>179</v>
      </c>
      <c r="C86" s="8">
        <v>769.6</v>
      </c>
      <c r="D86" s="8">
        <v>1486</v>
      </c>
      <c r="E86" s="14" t="s">
        <v>1586</v>
      </c>
      <c r="F86" s="14" t="s">
        <v>1586</v>
      </c>
      <c r="G86" s="14" t="s">
        <v>1586</v>
      </c>
      <c r="H86" s="14" t="s">
        <v>1586</v>
      </c>
      <c r="I86" s="14" t="s">
        <v>1586</v>
      </c>
      <c r="J86" s="14" t="s">
        <v>1586</v>
      </c>
      <c r="K86" s="14" t="s">
        <v>1586</v>
      </c>
      <c r="L86" s="15">
        <v>1</v>
      </c>
      <c r="M86" s="14" t="s">
        <v>1586</v>
      </c>
      <c r="N86" s="14" t="s">
        <v>1586</v>
      </c>
      <c r="O86" s="14" t="s">
        <v>1586</v>
      </c>
      <c r="P86" s="15">
        <v>1</v>
      </c>
      <c r="Q86" s="14" t="s">
        <v>1586</v>
      </c>
      <c r="R86" s="14" t="s">
        <v>1586</v>
      </c>
    </row>
    <row r="87" spans="1:18" ht="14.25">
      <c r="A87" s="6">
        <v>84</v>
      </c>
      <c r="B87" s="7" t="s">
        <v>180</v>
      </c>
      <c r="C87" s="8">
        <v>1475</v>
      </c>
      <c r="D87" s="8">
        <v>1475</v>
      </c>
      <c r="E87" s="14" t="s">
        <v>1586</v>
      </c>
      <c r="F87" s="14" t="s">
        <v>1586</v>
      </c>
      <c r="G87" s="14" t="s">
        <v>1586</v>
      </c>
      <c r="H87" s="14" t="s">
        <v>1586</v>
      </c>
      <c r="I87" s="14" t="s">
        <v>1586</v>
      </c>
      <c r="J87" s="14" t="s">
        <v>1586</v>
      </c>
      <c r="K87" s="14" t="s">
        <v>1586</v>
      </c>
      <c r="L87" s="14" t="s">
        <v>1586</v>
      </c>
      <c r="M87" s="14" t="s">
        <v>1586</v>
      </c>
      <c r="N87" s="14" t="s">
        <v>1586</v>
      </c>
      <c r="O87" s="15">
        <v>1</v>
      </c>
      <c r="P87" s="14" t="s">
        <v>1586</v>
      </c>
      <c r="Q87" s="14" t="s">
        <v>1586</v>
      </c>
      <c r="R87" s="14" t="s">
        <v>1586</v>
      </c>
    </row>
    <row r="88" spans="1:18" ht="14.25">
      <c r="A88" s="6">
        <v>85</v>
      </c>
      <c r="B88" s="7" t="s">
        <v>182</v>
      </c>
      <c r="C88" s="8">
        <v>753</v>
      </c>
      <c r="D88" s="8">
        <v>1392</v>
      </c>
      <c r="E88" s="14" t="s">
        <v>1586</v>
      </c>
      <c r="F88" s="14" t="s">
        <v>1586</v>
      </c>
      <c r="G88" s="14" t="s">
        <v>1586</v>
      </c>
      <c r="H88" s="14" t="s">
        <v>1586</v>
      </c>
      <c r="I88" s="14" t="s">
        <v>1586</v>
      </c>
      <c r="J88" s="14" t="s">
        <v>1586</v>
      </c>
      <c r="K88" s="14" t="s">
        <v>1586</v>
      </c>
      <c r="L88" s="14" t="s">
        <v>1586</v>
      </c>
      <c r="M88" s="14" t="s">
        <v>1586</v>
      </c>
      <c r="N88" s="14" t="s">
        <v>1586</v>
      </c>
      <c r="O88" s="14" t="s">
        <v>1586</v>
      </c>
      <c r="P88" s="15">
        <v>1</v>
      </c>
      <c r="Q88" s="15">
        <v>1</v>
      </c>
      <c r="R88" s="14" t="s">
        <v>1586</v>
      </c>
    </row>
    <row r="89" spans="1:18" ht="14.25">
      <c r="A89" s="6">
        <v>86</v>
      </c>
      <c r="B89" s="7" t="s">
        <v>184</v>
      </c>
      <c r="C89" s="8">
        <v>21.6</v>
      </c>
      <c r="D89" s="8">
        <v>1344</v>
      </c>
      <c r="E89" s="14" t="s">
        <v>1586</v>
      </c>
      <c r="F89" s="14" t="s">
        <v>1586</v>
      </c>
      <c r="G89" s="14" t="s">
        <v>1586</v>
      </c>
      <c r="H89" s="14" t="s">
        <v>1586</v>
      </c>
      <c r="I89" s="14" t="s">
        <v>1586</v>
      </c>
      <c r="J89" s="14" t="s">
        <v>1586</v>
      </c>
      <c r="K89" s="14" t="s">
        <v>1586</v>
      </c>
      <c r="L89" s="14" t="s">
        <v>1586</v>
      </c>
      <c r="M89" s="14" t="s">
        <v>1586</v>
      </c>
      <c r="N89" s="15">
        <v>2</v>
      </c>
      <c r="O89" s="15">
        <v>1</v>
      </c>
      <c r="P89" s="15">
        <v>1</v>
      </c>
      <c r="Q89" s="15">
        <v>2</v>
      </c>
      <c r="R89" s="15">
        <v>1</v>
      </c>
    </row>
    <row r="90" spans="1:18" ht="14.25">
      <c r="A90" s="6">
        <v>87</v>
      </c>
      <c r="B90" s="7" t="s">
        <v>186</v>
      </c>
      <c r="C90" s="8">
        <v>1300</v>
      </c>
      <c r="D90" s="8">
        <v>1300</v>
      </c>
      <c r="E90" s="14" t="s">
        <v>1586</v>
      </c>
      <c r="F90" s="14" t="s">
        <v>1586</v>
      </c>
      <c r="G90" s="14" t="s">
        <v>1586</v>
      </c>
      <c r="H90" s="14" t="s">
        <v>1586</v>
      </c>
      <c r="I90" s="14" t="s">
        <v>1586</v>
      </c>
      <c r="J90" s="14" t="s">
        <v>1586</v>
      </c>
      <c r="K90" s="14" t="s">
        <v>1586</v>
      </c>
      <c r="L90" s="14" t="s">
        <v>1586</v>
      </c>
      <c r="M90" s="14" t="s">
        <v>1586</v>
      </c>
      <c r="N90" s="14" t="s">
        <v>1586</v>
      </c>
      <c r="O90" s="15">
        <v>1</v>
      </c>
      <c r="P90" s="14" t="s">
        <v>1586</v>
      </c>
      <c r="Q90" s="14" t="s">
        <v>1586</v>
      </c>
      <c r="R90" s="14" t="s">
        <v>1586</v>
      </c>
    </row>
    <row r="91" spans="1:18" ht="14.25">
      <c r="A91" s="6">
        <v>88</v>
      </c>
      <c r="B91" s="7" t="s">
        <v>188</v>
      </c>
      <c r="C91" s="8">
        <v>1273.2</v>
      </c>
      <c r="D91" s="8">
        <v>1273.2</v>
      </c>
      <c r="E91" s="14" t="s">
        <v>1586</v>
      </c>
      <c r="F91" s="14" t="s">
        <v>1586</v>
      </c>
      <c r="G91" s="14" t="s">
        <v>1586</v>
      </c>
      <c r="H91" s="14" t="s">
        <v>1586</v>
      </c>
      <c r="I91" s="14" t="s">
        <v>1586</v>
      </c>
      <c r="J91" s="14" t="s">
        <v>1586</v>
      </c>
      <c r="K91" s="14" t="s">
        <v>1586</v>
      </c>
      <c r="L91" s="14" t="s">
        <v>1586</v>
      </c>
      <c r="M91" s="14" t="s">
        <v>1586</v>
      </c>
      <c r="N91" s="14" t="s">
        <v>1586</v>
      </c>
      <c r="O91" s="14" t="s">
        <v>1586</v>
      </c>
      <c r="P91" s="14" t="s">
        <v>1586</v>
      </c>
      <c r="Q91" s="15">
        <v>1</v>
      </c>
      <c r="R91" s="14" t="s">
        <v>1586</v>
      </c>
    </row>
    <row r="92" spans="1:18" ht="14.25">
      <c r="A92" s="6">
        <v>89</v>
      </c>
      <c r="B92" s="7" t="s">
        <v>190</v>
      </c>
      <c r="C92" s="8">
        <v>311</v>
      </c>
      <c r="D92" s="8">
        <v>1265</v>
      </c>
      <c r="E92" s="14" t="s">
        <v>1586</v>
      </c>
      <c r="F92" s="14" t="s">
        <v>1586</v>
      </c>
      <c r="G92" s="14" t="s">
        <v>1586</v>
      </c>
      <c r="H92" s="14" t="s">
        <v>1586</v>
      </c>
      <c r="I92" s="14" t="s">
        <v>1586</v>
      </c>
      <c r="J92" s="14" t="s">
        <v>1586</v>
      </c>
      <c r="K92" s="14" t="s">
        <v>1586</v>
      </c>
      <c r="L92" s="14" t="s">
        <v>1586</v>
      </c>
      <c r="M92" s="14" t="s">
        <v>1586</v>
      </c>
      <c r="N92" s="15">
        <v>2</v>
      </c>
      <c r="O92" s="14" t="s">
        <v>1586</v>
      </c>
      <c r="P92" s="14" t="s">
        <v>1586</v>
      </c>
      <c r="Q92" s="14" t="s">
        <v>1586</v>
      </c>
      <c r="R92" s="15">
        <v>2</v>
      </c>
    </row>
    <row r="93" spans="1:18" ht="14.25">
      <c r="A93" s="6">
        <v>90</v>
      </c>
      <c r="B93" s="7" t="s">
        <v>192</v>
      </c>
      <c r="C93" s="8">
        <v>601</v>
      </c>
      <c r="D93" s="8">
        <v>1251</v>
      </c>
      <c r="E93" s="14" t="s">
        <v>1586</v>
      </c>
      <c r="F93" s="14" t="s">
        <v>1586</v>
      </c>
      <c r="G93" s="14" t="s">
        <v>1586</v>
      </c>
      <c r="H93" s="14" t="s">
        <v>1586</v>
      </c>
      <c r="I93" s="14" t="s">
        <v>1586</v>
      </c>
      <c r="J93" s="14" t="s">
        <v>1586</v>
      </c>
      <c r="K93" s="14" t="s">
        <v>1586</v>
      </c>
      <c r="L93" s="14" t="s">
        <v>1586</v>
      </c>
      <c r="M93" s="14" t="s">
        <v>1586</v>
      </c>
      <c r="N93" s="14" t="s">
        <v>1586</v>
      </c>
      <c r="O93" s="15">
        <v>1</v>
      </c>
      <c r="P93" s="15">
        <v>1</v>
      </c>
      <c r="Q93" s="14" t="s">
        <v>1586</v>
      </c>
      <c r="R93" s="15">
        <v>1</v>
      </c>
    </row>
    <row r="94" spans="1:18" ht="14.25">
      <c r="A94" s="6">
        <v>91</v>
      </c>
      <c r="B94" s="7" t="s">
        <v>194</v>
      </c>
      <c r="C94" s="8">
        <v>250</v>
      </c>
      <c r="D94" s="8">
        <v>1250</v>
      </c>
      <c r="E94" s="14" t="s">
        <v>1586</v>
      </c>
      <c r="F94" s="14" t="s">
        <v>1586</v>
      </c>
      <c r="G94" s="14" t="s">
        <v>1586</v>
      </c>
      <c r="H94" s="14" t="s">
        <v>1586</v>
      </c>
      <c r="I94" s="14" t="s">
        <v>1586</v>
      </c>
      <c r="J94" s="14" t="s">
        <v>1586</v>
      </c>
      <c r="K94" s="14" t="s">
        <v>1586</v>
      </c>
      <c r="L94" s="15">
        <v>2</v>
      </c>
      <c r="M94" s="15">
        <v>1</v>
      </c>
      <c r="N94" s="15">
        <v>1</v>
      </c>
      <c r="O94" s="14" t="s">
        <v>1586</v>
      </c>
      <c r="P94" s="14" t="s">
        <v>1586</v>
      </c>
      <c r="Q94" s="15">
        <v>1</v>
      </c>
      <c r="R94" s="15">
        <v>3</v>
      </c>
    </row>
    <row r="95" spans="1:18" ht="14.25">
      <c r="A95" s="6">
        <v>92</v>
      </c>
      <c r="B95" s="7" t="s">
        <v>195</v>
      </c>
      <c r="C95" s="8">
        <v>380</v>
      </c>
      <c r="D95" s="8">
        <v>1250</v>
      </c>
      <c r="E95" s="14" t="s">
        <v>1586</v>
      </c>
      <c r="F95" s="14" t="s">
        <v>1586</v>
      </c>
      <c r="G95" s="14" t="s">
        <v>1586</v>
      </c>
      <c r="H95" s="14" t="s">
        <v>1586</v>
      </c>
      <c r="I95" s="14" t="s">
        <v>1586</v>
      </c>
      <c r="J95" s="14" t="s">
        <v>1586</v>
      </c>
      <c r="K95" s="14" t="s">
        <v>1586</v>
      </c>
      <c r="L95" s="15">
        <v>1</v>
      </c>
      <c r="M95" s="15">
        <v>1</v>
      </c>
      <c r="N95" s="14" t="s">
        <v>1586</v>
      </c>
      <c r="O95" s="15">
        <v>1</v>
      </c>
      <c r="P95" s="15">
        <v>1</v>
      </c>
      <c r="Q95" s="14" t="s">
        <v>1586</v>
      </c>
      <c r="R95" s="14" t="s">
        <v>1586</v>
      </c>
    </row>
    <row r="96" spans="1:18" ht="14.25">
      <c r="A96" s="6">
        <v>93</v>
      </c>
      <c r="B96" s="7" t="s">
        <v>197</v>
      </c>
      <c r="C96" s="8">
        <v>450</v>
      </c>
      <c r="D96" s="8">
        <v>1203</v>
      </c>
      <c r="E96" s="14" t="s">
        <v>1586</v>
      </c>
      <c r="F96" s="14" t="s">
        <v>1586</v>
      </c>
      <c r="G96" s="14" t="s">
        <v>1586</v>
      </c>
      <c r="H96" s="14" t="s">
        <v>1586</v>
      </c>
      <c r="I96" s="14" t="s">
        <v>1586</v>
      </c>
      <c r="J96" s="14" t="s">
        <v>1586</v>
      </c>
      <c r="K96" s="14" t="s">
        <v>1586</v>
      </c>
      <c r="L96" s="14" t="s">
        <v>1586</v>
      </c>
      <c r="M96" s="15">
        <v>1</v>
      </c>
      <c r="N96" s="15">
        <v>2</v>
      </c>
      <c r="O96" s="15">
        <v>1</v>
      </c>
      <c r="P96" s="14" t="s">
        <v>1586</v>
      </c>
      <c r="Q96" s="14" t="s">
        <v>1586</v>
      </c>
      <c r="R96" s="14" t="s">
        <v>1586</v>
      </c>
    </row>
    <row r="97" spans="1:18" ht="14.25">
      <c r="A97" s="6">
        <v>94</v>
      </c>
      <c r="B97" s="7" t="s">
        <v>199</v>
      </c>
      <c r="C97" s="8">
        <v>750</v>
      </c>
      <c r="D97" s="8">
        <v>1200</v>
      </c>
      <c r="E97" s="14" t="s">
        <v>1586</v>
      </c>
      <c r="F97" s="14" t="s">
        <v>1586</v>
      </c>
      <c r="G97" s="14" t="s">
        <v>1586</v>
      </c>
      <c r="H97" s="14" t="s">
        <v>1586</v>
      </c>
      <c r="I97" s="14" t="s">
        <v>1586</v>
      </c>
      <c r="J97" s="14" t="s">
        <v>1586</v>
      </c>
      <c r="K97" s="14" t="s">
        <v>1586</v>
      </c>
      <c r="L97" s="14" t="s">
        <v>1586</v>
      </c>
      <c r="M97" s="14" t="s">
        <v>1586</v>
      </c>
      <c r="N97" s="15">
        <v>1</v>
      </c>
      <c r="O97" s="14" t="s">
        <v>1586</v>
      </c>
      <c r="P97" s="14" t="s">
        <v>1586</v>
      </c>
      <c r="Q97" s="15">
        <v>1</v>
      </c>
      <c r="R97" s="14" t="s">
        <v>1586</v>
      </c>
    </row>
    <row r="98" spans="1:18" ht="14.25">
      <c r="A98" s="6">
        <v>95</v>
      </c>
      <c r="B98" s="7" t="s">
        <v>201</v>
      </c>
      <c r="C98" s="8">
        <v>202</v>
      </c>
      <c r="D98" s="8">
        <v>1199</v>
      </c>
      <c r="E98" s="14" t="s">
        <v>1586</v>
      </c>
      <c r="F98" s="14" t="s">
        <v>1586</v>
      </c>
      <c r="G98" s="14" t="s">
        <v>1586</v>
      </c>
      <c r="H98" s="14" t="s">
        <v>1586</v>
      </c>
      <c r="I98" s="14" t="s">
        <v>1586</v>
      </c>
      <c r="J98" s="14" t="s">
        <v>1586</v>
      </c>
      <c r="K98" s="14" t="s">
        <v>1586</v>
      </c>
      <c r="L98" s="14" t="s">
        <v>1586</v>
      </c>
      <c r="M98" s="15">
        <v>1</v>
      </c>
      <c r="N98" s="14" t="s">
        <v>1586</v>
      </c>
      <c r="O98" s="15">
        <v>2</v>
      </c>
      <c r="P98" s="14" t="s">
        <v>1586</v>
      </c>
      <c r="Q98" s="15">
        <v>1</v>
      </c>
      <c r="R98" s="14" t="s">
        <v>1586</v>
      </c>
    </row>
    <row r="99" spans="1:18" ht="14.25">
      <c r="A99" s="6">
        <v>96</v>
      </c>
      <c r="B99" s="7" t="s">
        <v>203</v>
      </c>
      <c r="C99" s="8">
        <v>240</v>
      </c>
      <c r="D99" s="8">
        <v>1170</v>
      </c>
      <c r="E99" s="14" t="s">
        <v>1586</v>
      </c>
      <c r="F99" s="14" t="s">
        <v>1586</v>
      </c>
      <c r="G99" s="14" t="s">
        <v>1586</v>
      </c>
      <c r="H99" s="14" t="s">
        <v>1586</v>
      </c>
      <c r="I99" s="14" t="s">
        <v>1586</v>
      </c>
      <c r="J99" s="14" t="s">
        <v>1586</v>
      </c>
      <c r="K99" s="14" t="s">
        <v>1586</v>
      </c>
      <c r="L99" s="15">
        <v>1</v>
      </c>
      <c r="M99" s="14" t="s">
        <v>1586</v>
      </c>
      <c r="N99" s="14" t="s">
        <v>1586</v>
      </c>
      <c r="O99" s="14" t="s">
        <v>1586</v>
      </c>
      <c r="P99" s="15">
        <v>1</v>
      </c>
      <c r="Q99" s="14" t="s">
        <v>1586</v>
      </c>
      <c r="R99" s="14" t="s">
        <v>1586</v>
      </c>
    </row>
    <row r="100" spans="1:18" ht="14.25">
      <c r="A100" s="6">
        <v>97</v>
      </c>
      <c r="B100" s="7" t="s">
        <v>205</v>
      </c>
      <c r="C100" s="8">
        <v>430</v>
      </c>
      <c r="D100" s="8">
        <v>1125</v>
      </c>
      <c r="E100" s="14" t="s">
        <v>1586</v>
      </c>
      <c r="F100" s="14" t="s">
        <v>1586</v>
      </c>
      <c r="G100" s="14" t="s">
        <v>1586</v>
      </c>
      <c r="H100" s="14" t="s">
        <v>1586</v>
      </c>
      <c r="I100" s="14" t="s">
        <v>1586</v>
      </c>
      <c r="J100" s="14" t="s">
        <v>1586</v>
      </c>
      <c r="K100" s="14" t="s">
        <v>1586</v>
      </c>
      <c r="L100" s="14" t="s">
        <v>1586</v>
      </c>
      <c r="M100" s="14" t="s">
        <v>1586</v>
      </c>
      <c r="N100" s="14" t="s">
        <v>1586</v>
      </c>
      <c r="O100" s="14" t="s">
        <v>1586</v>
      </c>
      <c r="P100" s="15">
        <v>1</v>
      </c>
      <c r="Q100" s="15">
        <v>1</v>
      </c>
      <c r="R100" s="15">
        <v>1</v>
      </c>
    </row>
    <row r="101" spans="1:18" ht="14.25">
      <c r="A101" s="6">
        <v>98</v>
      </c>
      <c r="B101" s="7" t="s">
        <v>207</v>
      </c>
      <c r="C101" s="8">
        <v>920.5</v>
      </c>
      <c r="D101" s="8">
        <v>1108</v>
      </c>
      <c r="E101" s="14" t="s">
        <v>1586</v>
      </c>
      <c r="F101" s="14" t="s">
        <v>1586</v>
      </c>
      <c r="G101" s="14" t="s">
        <v>1586</v>
      </c>
      <c r="H101" s="14" t="s">
        <v>1586</v>
      </c>
      <c r="I101" s="14" t="s">
        <v>1586</v>
      </c>
      <c r="J101" s="14" t="s">
        <v>1586</v>
      </c>
      <c r="K101" s="14" t="s">
        <v>1586</v>
      </c>
      <c r="L101" s="14" t="s">
        <v>1586</v>
      </c>
      <c r="M101" s="15">
        <v>1</v>
      </c>
      <c r="N101" s="14" t="s">
        <v>1586</v>
      </c>
      <c r="O101" s="14" t="s">
        <v>1586</v>
      </c>
      <c r="P101" s="14" t="s">
        <v>1586</v>
      </c>
      <c r="Q101" s="14" t="s">
        <v>1586</v>
      </c>
      <c r="R101" s="15">
        <v>1</v>
      </c>
    </row>
    <row r="102" spans="1:18" ht="14.25">
      <c r="A102" s="6">
        <v>99</v>
      </c>
      <c r="B102" s="7" t="s">
        <v>209</v>
      </c>
      <c r="C102" s="8">
        <v>101</v>
      </c>
      <c r="D102" s="8">
        <v>1104</v>
      </c>
      <c r="E102" s="14" t="s">
        <v>1586</v>
      </c>
      <c r="F102" s="14" t="s">
        <v>1586</v>
      </c>
      <c r="G102" s="14" t="s">
        <v>1586</v>
      </c>
      <c r="H102" s="14" t="s">
        <v>1586</v>
      </c>
      <c r="I102" s="14" t="s">
        <v>1586</v>
      </c>
      <c r="J102" s="14" t="s">
        <v>1586</v>
      </c>
      <c r="K102" s="14" t="s">
        <v>1586</v>
      </c>
      <c r="L102" s="14" t="s">
        <v>1586</v>
      </c>
      <c r="M102" s="15">
        <v>1</v>
      </c>
      <c r="N102" s="15">
        <v>1</v>
      </c>
      <c r="O102" s="15">
        <v>1</v>
      </c>
      <c r="P102" s="15">
        <v>3</v>
      </c>
      <c r="Q102" s="15">
        <v>1</v>
      </c>
      <c r="R102" s="14" t="s">
        <v>1586</v>
      </c>
    </row>
    <row r="103" spans="1:18" ht="14.25">
      <c r="A103" s="6">
        <v>100</v>
      </c>
      <c r="B103" s="7" t="s">
        <v>211</v>
      </c>
      <c r="C103" s="8">
        <v>521</v>
      </c>
      <c r="D103" s="8">
        <v>1102</v>
      </c>
      <c r="E103" s="14" t="s">
        <v>1586</v>
      </c>
      <c r="F103" s="14" t="s">
        <v>1586</v>
      </c>
      <c r="G103" s="14" t="s">
        <v>1586</v>
      </c>
      <c r="H103" s="14" t="s">
        <v>1586</v>
      </c>
      <c r="I103" s="14" t="s">
        <v>1586</v>
      </c>
      <c r="J103" s="14" t="s">
        <v>1586</v>
      </c>
      <c r="K103" s="14" t="s">
        <v>1586</v>
      </c>
      <c r="L103" s="14" t="s">
        <v>1586</v>
      </c>
      <c r="M103" s="14" t="s">
        <v>1586</v>
      </c>
      <c r="N103" s="14" t="s">
        <v>1586</v>
      </c>
      <c r="O103" s="15">
        <v>1</v>
      </c>
      <c r="P103" s="14" t="s">
        <v>1586</v>
      </c>
      <c r="Q103" s="15">
        <v>1</v>
      </c>
      <c r="R103" s="14" t="s">
        <v>1586</v>
      </c>
    </row>
    <row r="104" spans="1:18" ht="14.25">
      <c r="A104" s="6">
        <v>101</v>
      </c>
      <c r="B104" s="7" t="s">
        <v>213</v>
      </c>
      <c r="C104" s="8">
        <v>40.799999999999997</v>
      </c>
      <c r="D104" s="8">
        <v>1070</v>
      </c>
      <c r="E104" s="14" t="s">
        <v>1586</v>
      </c>
      <c r="F104" s="14" t="s">
        <v>1586</v>
      </c>
      <c r="G104" s="14" t="s">
        <v>1586</v>
      </c>
      <c r="H104" s="14" t="s">
        <v>1586</v>
      </c>
      <c r="I104" s="14" t="s">
        <v>1586</v>
      </c>
      <c r="J104" s="14" t="s">
        <v>1586</v>
      </c>
      <c r="K104" s="14" t="s">
        <v>1586</v>
      </c>
      <c r="L104" s="14" t="s">
        <v>1586</v>
      </c>
      <c r="M104" s="14" t="s">
        <v>1586</v>
      </c>
      <c r="N104" s="14" t="s">
        <v>1586</v>
      </c>
      <c r="O104" s="15">
        <v>2</v>
      </c>
      <c r="P104" s="14" t="s">
        <v>1586</v>
      </c>
      <c r="Q104" s="15">
        <v>1</v>
      </c>
      <c r="R104" s="15">
        <v>1</v>
      </c>
    </row>
    <row r="105" spans="1:18" ht="14.25">
      <c r="A105" s="6">
        <v>102</v>
      </c>
      <c r="B105" s="7" t="s">
        <v>215</v>
      </c>
      <c r="C105" s="8">
        <v>336</v>
      </c>
      <c r="D105" s="8">
        <v>1051</v>
      </c>
      <c r="E105" s="14" t="s">
        <v>1586</v>
      </c>
      <c r="F105" s="14" t="s">
        <v>1586</v>
      </c>
      <c r="G105" s="14" t="s">
        <v>1586</v>
      </c>
      <c r="H105" s="14" t="s">
        <v>1586</v>
      </c>
      <c r="I105" s="14" t="s">
        <v>1586</v>
      </c>
      <c r="J105" s="14" t="s">
        <v>1586</v>
      </c>
      <c r="K105" s="14" t="s">
        <v>1586</v>
      </c>
      <c r="L105" s="14" t="s">
        <v>1586</v>
      </c>
      <c r="M105" s="14" t="s">
        <v>1586</v>
      </c>
      <c r="N105" s="15">
        <v>1</v>
      </c>
      <c r="O105" s="15">
        <v>1</v>
      </c>
      <c r="P105" s="14" t="s">
        <v>1586</v>
      </c>
      <c r="Q105" s="15">
        <v>1</v>
      </c>
      <c r="R105" s="14" t="s">
        <v>1586</v>
      </c>
    </row>
    <row r="106" spans="1:18" ht="14.25">
      <c r="A106" s="6">
        <v>103</v>
      </c>
      <c r="B106" s="7" t="s">
        <v>216</v>
      </c>
      <c r="C106" s="8">
        <v>150</v>
      </c>
      <c r="D106" s="8">
        <v>1050</v>
      </c>
      <c r="E106" s="14" t="s">
        <v>1586</v>
      </c>
      <c r="F106" s="14" t="s">
        <v>1586</v>
      </c>
      <c r="G106" s="14" t="s">
        <v>1586</v>
      </c>
      <c r="H106" s="14" t="s">
        <v>1586</v>
      </c>
      <c r="I106" s="14" t="s">
        <v>1586</v>
      </c>
      <c r="J106" s="14" t="s">
        <v>1586</v>
      </c>
      <c r="K106" s="14" t="s">
        <v>1586</v>
      </c>
      <c r="L106" s="14" t="s">
        <v>1586</v>
      </c>
      <c r="M106" s="14" t="s">
        <v>1586</v>
      </c>
      <c r="N106" s="14" t="s">
        <v>1586</v>
      </c>
      <c r="O106" s="14" t="s">
        <v>1586</v>
      </c>
      <c r="P106" s="14" t="s">
        <v>1586</v>
      </c>
      <c r="Q106" s="14" t="s">
        <v>1586</v>
      </c>
      <c r="R106" s="15">
        <v>2</v>
      </c>
    </row>
    <row r="107" spans="1:18" ht="14.25">
      <c r="A107" s="6">
        <v>104</v>
      </c>
      <c r="B107" s="7" t="s">
        <v>217</v>
      </c>
      <c r="C107" s="8">
        <v>724.5</v>
      </c>
      <c r="D107" s="8">
        <v>1045</v>
      </c>
      <c r="E107" s="14" t="s">
        <v>1586</v>
      </c>
      <c r="F107" s="14" t="s">
        <v>1586</v>
      </c>
      <c r="G107" s="14" t="s">
        <v>1586</v>
      </c>
      <c r="H107" s="14" t="s">
        <v>1586</v>
      </c>
      <c r="I107" s="14" t="s">
        <v>1586</v>
      </c>
      <c r="J107" s="14" t="s">
        <v>1586</v>
      </c>
      <c r="K107" s="14" t="s">
        <v>1586</v>
      </c>
      <c r="L107" s="14" t="s">
        <v>1586</v>
      </c>
      <c r="M107" s="14" t="s">
        <v>1586</v>
      </c>
      <c r="N107" s="15">
        <v>1</v>
      </c>
      <c r="O107" s="14" t="s">
        <v>1586</v>
      </c>
      <c r="P107" s="15">
        <v>1</v>
      </c>
      <c r="Q107" s="14" t="s">
        <v>1586</v>
      </c>
      <c r="R107" s="14" t="s">
        <v>1586</v>
      </c>
    </row>
    <row r="108" spans="1:18" ht="14.25">
      <c r="A108" s="6">
        <v>105</v>
      </c>
      <c r="B108" s="7" t="s">
        <v>219</v>
      </c>
      <c r="C108" s="8">
        <v>177.5</v>
      </c>
      <c r="D108" s="8">
        <v>1038.5</v>
      </c>
      <c r="E108" s="14" t="s">
        <v>1586</v>
      </c>
      <c r="F108" s="14" t="s">
        <v>1586</v>
      </c>
      <c r="G108" s="14" t="s">
        <v>1586</v>
      </c>
      <c r="H108" s="14" t="s">
        <v>1586</v>
      </c>
      <c r="I108" s="14" t="s">
        <v>1586</v>
      </c>
      <c r="J108" s="14" t="s">
        <v>1586</v>
      </c>
      <c r="K108" s="14" t="s">
        <v>1586</v>
      </c>
      <c r="L108" s="14" t="s">
        <v>1586</v>
      </c>
      <c r="M108" s="15">
        <v>1</v>
      </c>
      <c r="N108" s="15">
        <v>1</v>
      </c>
      <c r="O108" s="14" t="s">
        <v>1586</v>
      </c>
      <c r="P108" s="14" t="s">
        <v>1586</v>
      </c>
      <c r="Q108" s="15">
        <v>1</v>
      </c>
      <c r="R108" s="15">
        <v>1</v>
      </c>
    </row>
    <row r="109" spans="1:18" ht="14.25">
      <c r="A109" s="6">
        <v>106</v>
      </c>
      <c r="B109" s="7" t="s">
        <v>220</v>
      </c>
      <c r="C109" s="8">
        <v>1038.5</v>
      </c>
      <c r="D109" s="8">
        <v>1038.5</v>
      </c>
      <c r="E109" s="14" t="s">
        <v>1586</v>
      </c>
      <c r="F109" s="14" t="s">
        <v>1586</v>
      </c>
      <c r="G109" s="14" t="s">
        <v>1586</v>
      </c>
      <c r="H109" s="14" t="s">
        <v>1586</v>
      </c>
      <c r="I109" s="14" t="s">
        <v>1586</v>
      </c>
      <c r="J109" s="14" t="s">
        <v>1586</v>
      </c>
      <c r="K109" s="14" t="s">
        <v>1586</v>
      </c>
      <c r="L109" s="14" t="s">
        <v>1586</v>
      </c>
      <c r="M109" s="14" t="s">
        <v>1586</v>
      </c>
      <c r="N109" s="14" t="s">
        <v>1586</v>
      </c>
      <c r="O109" s="14" t="s">
        <v>1586</v>
      </c>
      <c r="P109" s="14" t="s">
        <v>1586</v>
      </c>
      <c r="Q109" s="15">
        <v>1</v>
      </c>
      <c r="R109" s="14" t="s">
        <v>1586</v>
      </c>
    </row>
    <row r="110" spans="1:18" ht="14.25">
      <c r="A110" s="6">
        <v>107</v>
      </c>
      <c r="B110" s="7" t="s">
        <v>221</v>
      </c>
      <c r="C110" s="8">
        <v>151</v>
      </c>
      <c r="D110" s="8">
        <v>1035</v>
      </c>
      <c r="E110" s="14" t="s">
        <v>1586</v>
      </c>
      <c r="F110" s="14" t="s">
        <v>1586</v>
      </c>
      <c r="G110" s="14" t="s">
        <v>1586</v>
      </c>
      <c r="H110" s="14" t="s">
        <v>1586</v>
      </c>
      <c r="I110" s="14" t="s">
        <v>1586</v>
      </c>
      <c r="J110" s="14" t="s">
        <v>1586</v>
      </c>
      <c r="K110" s="14" t="s">
        <v>1586</v>
      </c>
      <c r="L110" s="14" t="s">
        <v>1586</v>
      </c>
      <c r="M110" s="15">
        <v>2</v>
      </c>
      <c r="N110" s="14" t="s">
        <v>1586</v>
      </c>
      <c r="O110" s="15">
        <v>2</v>
      </c>
      <c r="P110" s="14" t="s">
        <v>1586</v>
      </c>
      <c r="Q110" s="14" t="s">
        <v>1586</v>
      </c>
      <c r="R110" s="14" t="s">
        <v>1586</v>
      </c>
    </row>
    <row r="111" spans="1:18" ht="14.25">
      <c r="A111" s="6">
        <v>108</v>
      </c>
      <c r="B111" s="7" t="s">
        <v>222</v>
      </c>
      <c r="C111" s="8">
        <v>223</v>
      </c>
      <c r="D111" s="8">
        <v>1033</v>
      </c>
      <c r="E111" s="14" t="s">
        <v>1586</v>
      </c>
      <c r="F111" s="14" t="s">
        <v>1586</v>
      </c>
      <c r="G111" s="14" t="s">
        <v>1586</v>
      </c>
      <c r="H111" s="14" t="s">
        <v>1586</v>
      </c>
      <c r="I111" s="14" t="s">
        <v>1586</v>
      </c>
      <c r="J111" s="14" t="s">
        <v>1586</v>
      </c>
      <c r="K111" s="14" t="s">
        <v>1586</v>
      </c>
      <c r="L111" s="14" t="s">
        <v>1586</v>
      </c>
      <c r="M111" s="14" t="s">
        <v>1586</v>
      </c>
      <c r="N111" s="14" t="s">
        <v>1586</v>
      </c>
      <c r="O111" s="15">
        <v>1</v>
      </c>
      <c r="P111" s="15">
        <v>2</v>
      </c>
      <c r="Q111" s="14" t="s">
        <v>1586</v>
      </c>
      <c r="R111" s="15">
        <v>3</v>
      </c>
    </row>
    <row r="112" spans="1:18" ht="14.25">
      <c r="A112" s="6">
        <v>109</v>
      </c>
      <c r="B112" s="7" t="s">
        <v>224</v>
      </c>
      <c r="C112" s="8">
        <v>180</v>
      </c>
      <c r="D112" s="8">
        <v>1030</v>
      </c>
      <c r="E112" s="14" t="s">
        <v>1586</v>
      </c>
      <c r="F112" s="14" t="s">
        <v>1586</v>
      </c>
      <c r="G112" s="14" t="s">
        <v>1586</v>
      </c>
      <c r="H112" s="14" t="s">
        <v>1586</v>
      </c>
      <c r="I112" s="14" t="s">
        <v>1586</v>
      </c>
      <c r="J112" s="14" t="s">
        <v>1586</v>
      </c>
      <c r="K112" s="14" t="s">
        <v>1586</v>
      </c>
      <c r="L112" s="14" t="s">
        <v>1586</v>
      </c>
      <c r="M112" s="14" t="s">
        <v>1586</v>
      </c>
      <c r="N112" s="15">
        <v>2</v>
      </c>
      <c r="O112" s="15">
        <v>3</v>
      </c>
      <c r="P112" s="15">
        <v>2</v>
      </c>
      <c r="Q112" s="15">
        <v>1</v>
      </c>
      <c r="R112" s="15">
        <v>3</v>
      </c>
    </row>
    <row r="113" spans="1:18" ht="14.25">
      <c r="A113" s="6">
        <v>110</v>
      </c>
      <c r="B113" s="7" t="s">
        <v>226</v>
      </c>
      <c r="C113" s="8">
        <v>101.5</v>
      </c>
      <c r="D113" s="8">
        <v>1020</v>
      </c>
      <c r="E113" s="14" t="s">
        <v>1586</v>
      </c>
      <c r="F113" s="14" t="s">
        <v>1586</v>
      </c>
      <c r="G113" s="14" t="s">
        <v>1586</v>
      </c>
      <c r="H113" s="14" t="s">
        <v>1586</v>
      </c>
      <c r="I113" s="14" t="s">
        <v>1586</v>
      </c>
      <c r="J113" s="14" t="s">
        <v>1586</v>
      </c>
      <c r="K113" s="14" t="s">
        <v>1586</v>
      </c>
      <c r="L113" s="14" t="s">
        <v>1586</v>
      </c>
      <c r="M113" s="15">
        <v>2</v>
      </c>
      <c r="N113" s="14" t="s">
        <v>1586</v>
      </c>
      <c r="O113" s="14" t="s">
        <v>1586</v>
      </c>
      <c r="P113" s="15">
        <v>2</v>
      </c>
      <c r="Q113" s="14" t="s">
        <v>1586</v>
      </c>
      <c r="R113" s="14" t="s">
        <v>1586</v>
      </c>
    </row>
    <row r="114" spans="1:18" ht="14.25">
      <c r="A114" s="6">
        <v>111</v>
      </c>
      <c r="B114" s="7" t="s">
        <v>228</v>
      </c>
      <c r="C114" s="8">
        <v>247</v>
      </c>
      <c r="D114" s="8">
        <v>1013</v>
      </c>
      <c r="E114" s="14" t="s">
        <v>1586</v>
      </c>
      <c r="F114" s="14" t="s">
        <v>1586</v>
      </c>
      <c r="G114" s="14" t="s">
        <v>1586</v>
      </c>
      <c r="H114" s="14" t="s">
        <v>1586</v>
      </c>
      <c r="I114" s="14" t="s">
        <v>1586</v>
      </c>
      <c r="J114" s="14" t="s">
        <v>1586</v>
      </c>
      <c r="K114" s="14" t="s">
        <v>1586</v>
      </c>
      <c r="L114" s="14" t="s">
        <v>1586</v>
      </c>
      <c r="M114" s="15">
        <v>1</v>
      </c>
      <c r="N114" s="15">
        <v>1</v>
      </c>
      <c r="O114" s="14" t="s">
        <v>1586</v>
      </c>
      <c r="P114" s="15">
        <v>2</v>
      </c>
      <c r="Q114" s="14" t="s">
        <v>1586</v>
      </c>
      <c r="R114" s="14" t="s">
        <v>1586</v>
      </c>
    </row>
    <row r="115" spans="1:18" ht="14.25">
      <c r="A115" s="6">
        <v>112</v>
      </c>
      <c r="B115" s="7" t="s">
        <v>229</v>
      </c>
      <c r="C115" s="8">
        <v>44.6</v>
      </c>
      <c r="D115" s="8">
        <v>1001.5</v>
      </c>
      <c r="E115" s="14" t="s">
        <v>1586</v>
      </c>
      <c r="F115" s="14" t="s">
        <v>1586</v>
      </c>
      <c r="G115" s="14" t="s">
        <v>1586</v>
      </c>
      <c r="H115" s="14" t="s">
        <v>1586</v>
      </c>
      <c r="I115" s="14" t="s">
        <v>1586</v>
      </c>
      <c r="J115" s="14" t="s">
        <v>1586</v>
      </c>
      <c r="K115" s="14" t="s">
        <v>1586</v>
      </c>
      <c r="L115" s="14" t="s">
        <v>1586</v>
      </c>
      <c r="M115" s="14" t="s">
        <v>1586</v>
      </c>
      <c r="N115" s="15">
        <v>2</v>
      </c>
      <c r="O115" s="14" t="s">
        <v>1586</v>
      </c>
      <c r="P115" s="15">
        <v>1</v>
      </c>
      <c r="Q115" s="15">
        <v>1</v>
      </c>
      <c r="R115" s="15">
        <v>1</v>
      </c>
    </row>
    <row r="116" spans="1:18" ht="14.25">
      <c r="A116" s="6">
        <v>113</v>
      </c>
      <c r="B116" s="7" t="s">
        <v>231</v>
      </c>
      <c r="C116" s="8">
        <v>1001</v>
      </c>
      <c r="D116" s="8">
        <v>1001</v>
      </c>
      <c r="E116" s="14" t="s">
        <v>1586</v>
      </c>
      <c r="F116" s="14" t="s">
        <v>1586</v>
      </c>
      <c r="G116" s="14" t="s">
        <v>1586</v>
      </c>
      <c r="H116" s="14" t="s">
        <v>1586</v>
      </c>
      <c r="I116" s="14" t="s">
        <v>1586</v>
      </c>
      <c r="J116" s="14" t="s">
        <v>1586</v>
      </c>
      <c r="K116" s="14" t="s">
        <v>1586</v>
      </c>
      <c r="L116" s="14" t="s">
        <v>1586</v>
      </c>
      <c r="M116" s="14" t="s">
        <v>1586</v>
      </c>
      <c r="N116" s="14" t="s">
        <v>1586</v>
      </c>
      <c r="O116" s="14" t="s">
        <v>1586</v>
      </c>
      <c r="P116" s="15">
        <v>1</v>
      </c>
      <c r="Q116" s="14" t="s">
        <v>1586</v>
      </c>
      <c r="R116" s="14" t="s">
        <v>1586</v>
      </c>
    </row>
    <row r="117" spans="1:18" ht="14.25">
      <c r="A117" s="6">
        <v>114</v>
      </c>
      <c r="B117" s="7" t="s">
        <v>232</v>
      </c>
      <c r="C117" s="8">
        <v>500</v>
      </c>
      <c r="D117" s="8">
        <v>1000</v>
      </c>
      <c r="E117" s="14" t="s">
        <v>1586</v>
      </c>
      <c r="F117" s="14" t="s">
        <v>1586</v>
      </c>
      <c r="G117" s="14" t="s">
        <v>1586</v>
      </c>
      <c r="H117" s="14" t="s">
        <v>1586</v>
      </c>
      <c r="I117" s="14" t="s">
        <v>1586</v>
      </c>
      <c r="J117" s="14" t="s">
        <v>1586</v>
      </c>
      <c r="K117" s="14" t="s">
        <v>1586</v>
      </c>
      <c r="L117" s="14" t="s">
        <v>1586</v>
      </c>
      <c r="M117" s="14" t="s">
        <v>1586</v>
      </c>
      <c r="N117" s="14" t="s">
        <v>1586</v>
      </c>
      <c r="O117" s="15">
        <v>1</v>
      </c>
      <c r="P117" s="15">
        <v>1</v>
      </c>
      <c r="Q117" s="14" t="s">
        <v>1586</v>
      </c>
      <c r="R117" s="14" t="s">
        <v>1586</v>
      </c>
    </row>
    <row r="118" spans="1:18" ht="14.25">
      <c r="A118" s="6">
        <v>115</v>
      </c>
      <c r="B118" s="7" t="s">
        <v>233</v>
      </c>
      <c r="C118" s="8">
        <v>136.5</v>
      </c>
      <c r="D118" s="8">
        <v>1000</v>
      </c>
      <c r="E118" s="14" t="s">
        <v>1586</v>
      </c>
      <c r="F118" s="14" t="s">
        <v>1586</v>
      </c>
      <c r="G118" s="14" t="s">
        <v>1586</v>
      </c>
      <c r="H118" s="14" t="s">
        <v>1586</v>
      </c>
      <c r="I118" s="14" t="s">
        <v>1586</v>
      </c>
      <c r="J118" s="14" t="s">
        <v>1586</v>
      </c>
      <c r="K118" s="14" t="s">
        <v>1586</v>
      </c>
      <c r="L118" s="15">
        <v>1</v>
      </c>
      <c r="M118" s="14" t="s">
        <v>1586</v>
      </c>
      <c r="N118" s="14" t="s">
        <v>1586</v>
      </c>
      <c r="O118" s="14" t="s">
        <v>1586</v>
      </c>
      <c r="P118" s="15">
        <v>1</v>
      </c>
      <c r="Q118" s="15">
        <v>1</v>
      </c>
      <c r="R118" s="14" t="s">
        <v>1586</v>
      </c>
    </row>
    <row r="119" spans="1:18" ht="14.25">
      <c r="A119" s="6">
        <v>116</v>
      </c>
      <c r="B119" s="7" t="s">
        <v>234</v>
      </c>
      <c r="C119" s="8">
        <v>215</v>
      </c>
      <c r="D119" s="8">
        <v>1000</v>
      </c>
      <c r="E119" s="14" t="s">
        <v>1586</v>
      </c>
      <c r="F119" s="14" t="s">
        <v>1586</v>
      </c>
      <c r="G119" s="14" t="s">
        <v>1586</v>
      </c>
      <c r="H119" s="14" t="s">
        <v>1586</v>
      </c>
      <c r="I119" s="14" t="s">
        <v>1586</v>
      </c>
      <c r="J119" s="14" t="s">
        <v>1586</v>
      </c>
      <c r="K119" s="14" t="s">
        <v>1586</v>
      </c>
      <c r="L119" s="15">
        <v>1</v>
      </c>
      <c r="M119" s="14" t="s">
        <v>1586</v>
      </c>
      <c r="N119" s="14" t="s">
        <v>1586</v>
      </c>
      <c r="O119" s="15">
        <v>1</v>
      </c>
      <c r="P119" s="14" t="s">
        <v>1586</v>
      </c>
      <c r="Q119" s="14" t="s">
        <v>1586</v>
      </c>
      <c r="R119" s="14" t="s">
        <v>1586</v>
      </c>
    </row>
    <row r="120" spans="1:18" ht="14.25">
      <c r="A120" s="6">
        <v>117</v>
      </c>
      <c r="B120" s="7" t="s">
        <v>235</v>
      </c>
      <c r="C120" s="8">
        <v>413.3</v>
      </c>
      <c r="D120" s="8">
        <v>1000</v>
      </c>
      <c r="E120" s="14" t="s">
        <v>1586</v>
      </c>
      <c r="F120" s="14" t="s">
        <v>1586</v>
      </c>
      <c r="G120" s="14" t="s">
        <v>1586</v>
      </c>
      <c r="H120" s="14" t="s">
        <v>1586</v>
      </c>
      <c r="I120" s="14" t="s">
        <v>1586</v>
      </c>
      <c r="J120" s="14" t="s">
        <v>1586</v>
      </c>
      <c r="K120" s="14" t="s">
        <v>1586</v>
      </c>
      <c r="L120" s="14" t="s">
        <v>1586</v>
      </c>
      <c r="M120" s="14" t="s">
        <v>1586</v>
      </c>
      <c r="N120" s="14" t="s">
        <v>1586</v>
      </c>
      <c r="O120" s="15">
        <v>1</v>
      </c>
      <c r="P120" s="15">
        <v>2</v>
      </c>
      <c r="Q120" s="14" t="s">
        <v>1586</v>
      </c>
      <c r="R120" s="14" t="s">
        <v>1586</v>
      </c>
    </row>
    <row r="121" spans="1:18" ht="14.25">
      <c r="A121" s="6">
        <v>118</v>
      </c>
      <c r="B121" s="7" t="s">
        <v>237</v>
      </c>
      <c r="C121" s="8">
        <v>86</v>
      </c>
      <c r="D121" s="8">
        <v>1000</v>
      </c>
      <c r="E121" s="14" t="s">
        <v>1586</v>
      </c>
      <c r="F121" s="14" t="s">
        <v>1586</v>
      </c>
      <c r="G121" s="14" t="s">
        <v>1586</v>
      </c>
      <c r="H121" s="14" t="s">
        <v>1586</v>
      </c>
      <c r="I121" s="14" t="s">
        <v>1586</v>
      </c>
      <c r="J121" s="14" t="s">
        <v>1586</v>
      </c>
      <c r="K121" s="14" t="s">
        <v>1586</v>
      </c>
      <c r="L121" s="14" t="s">
        <v>1586</v>
      </c>
      <c r="M121" s="14" t="s">
        <v>1586</v>
      </c>
      <c r="N121" s="14" t="s">
        <v>1586</v>
      </c>
      <c r="O121" s="15">
        <v>2</v>
      </c>
      <c r="P121" s="15">
        <v>1</v>
      </c>
      <c r="Q121" s="15">
        <v>1</v>
      </c>
      <c r="R121" s="15">
        <v>1</v>
      </c>
    </row>
    <row r="122" spans="1:18" ht="14.25">
      <c r="A122" s="6">
        <v>119</v>
      </c>
      <c r="B122" s="7" t="s">
        <v>238</v>
      </c>
      <c r="C122" s="8">
        <v>975</v>
      </c>
      <c r="D122" s="8">
        <v>975</v>
      </c>
      <c r="E122" s="14" t="s">
        <v>1586</v>
      </c>
      <c r="F122" s="14" t="s">
        <v>1586</v>
      </c>
      <c r="G122" s="14" t="s">
        <v>1586</v>
      </c>
      <c r="H122" s="14" t="s">
        <v>1586</v>
      </c>
      <c r="I122" s="14" t="s">
        <v>1586</v>
      </c>
      <c r="J122" s="14" t="s">
        <v>1586</v>
      </c>
      <c r="K122" s="14" t="s">
        <v>1586</v>
      </c>
      <c r="L122" s="14" t="s">
        <v>1586</v>
      </c>
      <c r="M122" s="14" t="s">
        <v>1586</v>
      </c>
      <c r="N122" s="14" t="s">
        <v>1586</v>
      </c>
      <c r="O122" s="14" t="s">
        <v>1586</v>
      </c>
      <c r="P122" s="14" t="s">
        <v>1586</v>
      </c>
      <c r="Q122" s="15">
        <v>1</v>
      </c>
      <c r="R122" s="14" t="s">
        <v>1586</v>
      </c>
    </row>
    <row r="123" spans="1:18" ht="14.25">
      <c r="A123" s="6">
        <v>120</v>
      </c>
      <c r="B123" s="7" t="s">
        <v>239</v>
      </c>
      <c r="C123" s="8">
        <v>302.5</v>
      </c>
      <c r="D123" s="8">
        <v>956.4</v>
      </c>
      <c r="E123" s="14" t="s">
        <v>1586</v>
      </c>
      <c r="F123" s="14" t="s">
        <v>1586</v>
      </c>
      <c r="G123" s="14" t="s">
        <v>1586</v>
      </c>
      <c r="H123" s="14" t="s">
        <v>1586</v>
      </c>
      <c r="I123" s="14" t="s">
        <v>1586</v>
      </c>
      <c r="J123" s="14" t="s">
        <v>1586</v>
      </c>
      <c r="K123" s="14" t="s">
        <v>1586</v>
      </c>
      <c r="L123" s="14" t="s">
        <v>1586</v>
      </c>
      <c r="M123" s="14" t="s">
        <v>1586</v>
      </c>
      <c r="N123" s="14" t="s">
        <v>1586</v>
      </c>
      <c r="O123" s="14" t="s">
        <v>1586</v>
      </c>
      <c r="P123" s="15">
        <v>3</v>
      </c>
      <c r="Q123" s="14" t="s">
        <v>1586</v>
      </c>
      <c r="R123" s="14" t="s">
        <v>1586</v>
      </c>
    </row>
    <row r="124" spans="1:18" ht="14.25">
      <c r="A124" s="6">
        <v>121</v>
      </c>
      <c r="B124" s="7" t="s">
        <v>240</v>
      </c>
      <c r="C124" s="8">
        <v>102</v>
      </c>
      <c r="D124" s="8">
        <v>956.4</v>
      </c>
      <c r="E124" s="14" t="s">
        <v>1586</v>
      </c>
      <c r="F124" s="14" t="s">
        <v>1586</v>
      </c>
      <c r="G124" s="14" t="s">
        <v>1586</v>
      </c>
      <c r="H124" s="14" t="s">
        <v>1586</v>
      </c>
      <c r="I124" s="14" t="s">
        <v>1586</v>
      </c>
      <c r="J124" s="15">
        <v>2</v>
      </c>
      <c r="K124" s="14" t="s">
        <v>1586</v>
      </c>
      <c r="L124" s="15">
        <v>1</v>
      </c>
      <c r="M124" s="14" t="s">
        <v>1586</v>
      </c>
      <c r="N124" s="14" t="s">
        <v>1586</v>
      </c>
      <c r="O124" s="15">
        <v>1</v>
      </c>
      <c r="P124" s="15">
        <v>1</v>
      </c>
      <c r="Q124" s="15">
        <v>1</v>
      </c>
      <c r="R124" s="14" t="s">
        <v>1586</v>
      </c>
    </row>
    <row r="125" spans="1:18" ht="14.25">
      <c r="A125" s="6">
        <v>122</v>
      </c>
      <c r="B125" s="7" t="s">
        <v>242</v>
      </c>
      <c r="C125" s="8">
        <v>451</v>
      </c>
      <c r="D125" s="8">
        <v>950</v>
      </c>
      <c r="E125" s="14" t="s">
        <v>1586</v>
      </c>
      <c r="F125" s="14" t="s">
        <v>1586</v>
      </c>
      <c r="G125" s="14" t="s">
        <v>1586</v>
      </c>
      <c r="H125" s="14" t="s">
        <v>1586</v>
      </c>
      <c r="I125" s="14" t="s">
        <v>1586</v>
      </c>
      <c r="J125" s="14" t="s">
        <v>1586</v>
      </c>
      <c r="K125" s="14" t="s">
        <v>1586</v>
      </c>
      <c r="L125" s="14" t="s">
        <v>1586</v>
      </c>
      <c r="M125" s="14" t="s">
        <v>1586</v>
      </c>
      <c r="N125" s="14" t="s">
        <v>1586</v>
      </c>
      <c r="O125" s="15">
        <v>1</v>
      </c>
      <c r="P125" s="14" t="s">
        <v>1586</v>
      </c>
      <c r="Q125" s="15">
        <v>1</v>
      </c>
      <c r="R125" s="14" t="s">
        <v>1586</v>
      </c>
    </row>
    <row r="126" spans="1:18" ht="14.25">
      <c r="A126" s="6">
        <v>123</v>
      </c>
      <c r="B126" s="7" t="s">
        <v>244</v>
      </c>
      <c r="C126" s="8">
        <v>360</v>
      </c>
      <c r="D126" s="8">
        <v>950</v>
      </c>
      <c r="E126" s="14" t="s">
        <v>1586</v>
      </c>
      <c r="F126" s="14" t="s">
        <v>1586</v>
      </c>
      <c r="G126" s="14" t="s">
        <v>1586</v>
      </c>
      <c r="H126" s="14" t="s">
        <v>1586</v>
      </c>
      <c r="I126" s="14" t="s">
        <v>1586</v>
      </c>
      <c r="J126" s="15">
        <v>1</v>
      </c>
      <c r="K126" s="15">
        <v>1</v>
      </c>
      <c r="L126" s="15">
        <v>1</v>
      </c>
      <c r="M126" s="15">
        <v>2</v>
      </c>
      <c r="N126" s="15">
        <v>1</v>
      </c>
      <c r="O126" s="15">
        <v>1</v>
      </c>
      <c r="P126" s="15">
        <v>1</v>
      </c>
      <c r="Q126" s="15">
        <v>1</v>
      </c>
      <c r="R126" s="14" t="s">
        <v>1586</v>
      </c>
    </row>
    <row r="127" spans="1:18" ht="14.25">
      <c r="A127" s="6">
        <v>124</v>
      </c>
      <c r="B127" s="7" t="s">
        <v>245</v>
      </c>
      <c r="C127" s="8">
        <v>365</v>
      </c>
      <c r="D127" s="8">
        <v>915</v>
      </c>
      <c r="E127" s="14" t="s">
        <v>1586</v>
      </c>
      <c r="F127" s="14" t="s">
        <v>1586</v>
      </c>
      <c r="G127" s="14" t="s">
        <v>1586</v>
      </c>
      <c r="H127" s="14" t="s">
        <v>1586</v>
      </c>
      <c r="I127" s="14" t="s">
        <v>1586</v>
      </c>
      <c r="J127" s="14" t="s">
        <v>1586</v>
      </c>
      <c r="K127" s="14" t="s">
        <v>1586</v>
      </c>
      <c r="L127" s="15">
        <v>1</v>
      </c>
      <c r="M127" s="14" t="s">
        <v>1586</v>
      </c>
      <c r="N127" s="14" t="s">
        <v>1586</v>
      </c>
      <c r="O127" s="15">
        <v>1</v>
      </c>
      <c r="P127" s="14" t="s">
        <v>1586</v>
      </c>
      <c r="Q127" s="14" t="s">
        <v>1586</v>
      </c>
      <c r="R127" s="14" t="s">
        <v>1586</v>
      </c>
    </row>
    <row r="128" spans="1:18" ht="14.25">
      <c r="A128" s="6">
        <v>125</v>
      </c>
      <c r="B128" s="7" t="s">
        <v>247</v>
      </c>
      <c r="C128" s="8">
        <v>80</v>
      </c>
      <c r="D128" s="8">
        <v>900</v>
      </c>
      <c r="E128" s="14" t="s">
        <v>1586</v>
      </c>
      <c r="F128" s="14" t="s">
        <v>1586</v>
      </c>
      <c r="G128" s="14" t="s">
        <v>1586</v>
      </c>
      <c r="H128" s="14" t="s">
        <v>1586</v>
      </c>
      <c r="I128" s="14" t="s">
        <v>1586</v>
      </c>
      <c r="J128" s="14" t="s">
        <v>1586</v>
      </c>
      <c r="K128" s="14" t="s">
        <v>1586</v>
      </c>
      <c r="L128" s="14" t="s">
        <v>1586</v>
      </c>
      <c r="M128" s="14" t="s">
        <v>1586</v>
      </c>
      <c r="N128" s="14" t="s">
        <v>1586</v>
      </c>
      <c r="O128" s="14" t="s">
        <v>1586</v>
      </c>
      <c r="P128" s="14" t="s">
        <v>1586</v>
      </c>
      <c r="Q128" s="15">
        <v>2</v>
      </c>
      <c r="R128" s="15">
        <v>2</v>
      </c>
    </row>
    <row r="129" spans="1:18" ht="14.25">
      <c r="A129" s="6">
        <v>126</v>
      </c>
      <c r="B129" s="7" t="s">
        <v>248</v>
      </c>
      <c r="C129" s="8">
        <v>900</v>
      </c>
      <c r="D129" s="8">
        <v>900</v>
      </c>
      <c r="E129" s="14" t="s">
        <v>1586</v>
      </c>
      <c r="F129" s="14" t="s">
        <v>1586</v>
      </c>
      <c r="G129" s="14" t="s">
        <v>1586</v>
      </c>
      <c r="H129" s="14" t="s">
        <v>1586</v>
      </c>
      <c r="I129" s="14" t="s">
        <v>1586</v>
      </c>
      <c r="J129" s="14" t="s">
        <v>1586</v>
      </c>
      <c r="K129" s="14" t="s">
        <v>1586</v>
      </c>
      <c r="L129" s="14" t="s">
        <v>1586</v>
      </c>
      <c r="M129" s="14" t="s">
        <v>1586</v>
      </c>
      <c r="N129" s="14" t="s">
        <v>1586</v>
      </c>
      <c r="O129" s="14" t="s">
        <v>1586</v>
      </c>
      <c r="P129" s="14" t="s">
        <v>1586</v>
      </c>
      <c r="Q129" s="14" t="s">
        <v>1586</v>
      </c>
      <c r="R129" s="15">
        <v>1</v>
      </c>
    </row>
    <row r="130" spans="1:18" ht="14.25">
      <c r="A130" s="6">
        <v>127</v>
      </c>
      <c r="B130" s="7" t="s">
        <v>249</v>
      </c>
      <c r="C130" s="8">
        <v>295</v>
      </c>
      <c r="D130" s="8">
        <v>865</v>
      </c>
      <c r="E130" s="14" t="s">
        <v>1586</v>
      </c>
      <c r="F130" s="14" t="s">
        <v>1586</v>
      </c>
      <c r="G130" s="14" t="s">
        <v>1586</v>
      </c>
      <c r="H130" s="14" t="s">
        <v>1586</v>
      </c>
      <c r="I130" s="14" t="s">
        <v>1586</v>
      </c>
      <c r="J130" s="14" t="s">
        <v>1586</v>
      </c>
      <c r="K130" s="14" t="s">
        <v>1586</v>
      </c>
      <c r="L130" s="14" t="s">
        <v>1586</v>
      </c>
      <c r="M130" s="14" t="s">
        <v>1586</v>
      </c>
      <c r="N130" s="15">
        <v>1</v>
      </c>
      <c r="O130" s="15">
        <v>2</v>
      </c>
      <c r="P130" s="15">
        <v>1</v>
      </c>
      <c r="Q130" s="15">
        <v>1</v>
      </c>
      <c r="R130" s="14" t="s">
        <v>1586</v>
      </c>
    </row>
    <row r="131" spans="1:18" ht="14.25">
      <c r="A131" s="6">
        <v>128</v>
      </c>
      <c r="B131" s="7" t="s">
        <v>251</v>
      </c>
      <c r="C131" s="8">
        <v>865</v>
      </c>
      <c r="D131" s="8">
        <v>865</v>
      </c>
      <c r="E131" s="14" t="s">
        <v>1586</v>
      </c>
      <c r="F131" s="14" t="s">
        <v>1586</v>
      </c>
      <c r="G131" s="14" t="s">
        <v>1586</v>
      </c>
      <c r="H131" s="14" t="s">
        <v>1586</v>
      </c>
      <c r="I131" s="14" t="s">
        <v>1586</v>
      </c>
      <c r="J131" s="14" t="s">
        <v>1586</v>
      </c>
      <c r="K131" s="14" t="s">
        <v>1586</v>
      </c>
      <c r="L131" s="14" t="s">
        <v>1586</v>
      </c>
      <c r="M131" s="14" t="s">
        <v>1586</v>
      </c>
      <c r="N131" s="14" t="s">
        <v>1586</v>
      </c>
      <c r="O131" s="15">
        <v>1</v>
      </c>
      <c r="P131" s="14" t="s">
        <v>1586</v>
      </c>
      <c r="Q131" s="14" t="s">
        <v>1586</v>
      </c>
      <c r="R131" s="14" t="s">
        <v>1586</v>
      </c>
    </row>
    <row r="132" spans="1:18" ht="14.25">
      <c r="A132" s="6">
        <v>129</v>
      </c>
      <c r="B132" s="7" t="s">
        <v>252</v>
      </c>
      <c r="C132" s="8">
        <v>31</v>
      </c>
      <c r="D132" s="8">
        <v>855</v>
      </c>
      <c r="E132" s="14" t="s">
        <v>1586</v>
      </c>
      <c r="F132" s="14" t="s">
        <v>1586</v>
      </c>
      <c r="G132" s="14" t="s">
        <v>1586</v>
      </c>
      <c r="H132" s="14" t="s">
        <v>1586</v>
      </c>
      <c r="I132" s="14" t="s">
        <v>1586</v>
      </c>
      <c r="J132" s="14" t="s">
        <v>1586</v>
      </c>
      <c r="K132" s="14" t="s">
        <v>1586</v>
      </c>
      <c r="L132" s="14" t="s">
        <v>1586</v>
      </c>
      <c r="M132" s="14" t="s">
        <v>1586</v>
      </c>
      <c r="N132" s="14" t="s">
        <v>1586</v>
      </c>
      <c r="O132" s="15">
        <v>2</v>
      </c>
      <c r="P132" s="15">
        <v>2</v>
      </c>
      <c r="Q132" s="15">
        <v>1</v>
      </c>
      <c r="R132" s="14" t="s">
        <v>1586</v>
      </c>
    </row>
    <row r="133" spans="1:18" ht="14.25">
      <c r="A133" s="6">
        <v>130</v>
      </c>
      <c r="B133" s="7" t="s">
        <v>254</v>
      </c>
      <c r="C133" s="8">
        <v>120</v>
      </c>
      <c r="D133" s="8">
        <v>850</v>
      </c>
      <c r="E133" s="14" t="s">
        <v>1586</v>
      </c>
      <c r="F133" s="14" t="s">
        <v>1586</v>
      </c>
      <c r="G133" s="14" t="s">
        <v>1586</v>
      </c>
      <c r="H133" s="14" t="s">
        <v>1586</v>
      </c>
      <c r="I133" s="14" t="s">
        <v>1586</v>
      </c>
      <c r="J133" s="14" t="s">
        <v>1586</v>
      </c>
      <c r="K133" s="14" t="s">
        <v>1586</v>
      </c>
      <c r="L133" s="15">
        <v>1</v>
      </c>
      <c r="M133" s="14" t="s">
        <v>1586</v>
      </c>
      <c r="N133" s="14" t="s">
        <v>1586</v>
      </c>
      <c r="O133" s="14" t="s">
        <v>1586</v>
      </c>
      <c r="P133" s="15">
        <v>1</v>
      </c>
      <c r="Q133" s="15">
        <v>1</v>
      </c>
      <c r="R133" s="14" t="s">
        <v>1586</v>
      </c>
    </row>
    <row r="134" spans="1:18" ht="14.25">
      <c r="A134" s="6">
        <v>131</v>
      </c>
      <c r="B134" s="7" t="s">
        <v>256</v>
      </c>
      <c r="C134" s="8">
        <v>79</v>
      </c>
      <c r="D134" s="8">
        <v>835</v>
      </c>
      <c r="E134" s="14" t="s">
        <v>1586</v>
      </c>
      <c r="F134" s="14" t="s">
        <v>1586</v>
      </c>
      <c r="G134" s="14" t="s">
        <v>1586</v>
      </c>
      <c r="H134" s="14" t="s">
        <v>1586</v>
      </c>
      <c r="I134" s="14" t="s">
        <v>1586</v>
      </c>
      <c r="J134" s="14" t="s">
        <v>1586</v>
      </c>
      <c r="K134" s="15">
        <v>1</v>
      </c>
      <c r="L134" s="14" t="s">
        <v>1586</v>
      </c>
      <c r="M134" s="15">
        <v>1</v>
      </c>
      <c r="N134" s="14" t="s">
        <v>1586</v>
      </c>
      <c r="O134" s="15">
        <v>1</v>
      </c>
      <c r="P134" s="14" t="s">
        <v>1586</v>
      </c>
      <c r="Q134" s="14" t="s">
        <v>1586</v>
      </c>
      <c r="R134" s="14" t="s">
        <v>1586</v>
      </c>
    </row>
    <row r="135" spans="1:18" ht="14.25">
      <c r="A135" s="6">
        <v>132</v>
      </c>
      <c r="B135" s="7" t="s">
        <v>257</v>
      </c>
      <c r="C135" s="8">
        <v>12.7</v>
      </c>
      <c r="D135" s="8">
        <v>818.3</v>
      </c>
      <c r="E135" s="14" t="s">
        <v>1586</v>
      </c>
      <c r="F135" s="14" t="s">
        <v>1586</v>
      </c>
      <c r="G135" s="14" t="s">
        <v>1586</v>
      </c>
      <c r="H135" s="14" t="s">
        <v>1586</v>
      </c>
      <c r="I135" s="14" t="s">
        <v>1586</v>
      </c>
      <c r="J135" s="14" t="s">
        <v>1586</v>
      </c>
      <c r="K135" s="14" t="s">
        <v>1586</v>
      </c>
      <c r="L135" s="14" t="s">
        <v>1586</v>
      </c>
      <c r="M135" s="15">
        <v>2</v>
      </c>
      <c r="N135" s="14" t="s">
        <v>1586</v>
      </c>
      <c r="O135" s="15">
        <v>2</v>
      </c>
      <c r="P135" s="14" t="s">
        <v>1586</v>
      </c>
      <c r="Q135" s="14" t="s">
        <v>1586</v>
      </c>
      <c r="R135" s="14" t="s">
        <v>1586</v>
      </c>
    </row>
    <row r="136" spans="1:18" ht="14.25">
      <c r="A136" s="6">
        <v>133</v>
      </c>
      <c r="B136" s="7" t="s">
        <v>259</v>
      </c>
      <c r="C136" s="8">
        <v>2.1</v>
      </c>
      <c r="D136" s="8">
        <v>805</v>
      </c>
      <c r="E136" s="14" t="s">
        <v>1586</v>
      </c>
      <c r="F136" s="14" t="s">
        <v>1586</v>
      </c>
      <c r="G136" s="14" t="s">
        <v>1586</v>
      </c>
      <c r="H136" s="14" t="s">
        <v>1586</v>
      </c>
      <c r="I136" s="14" t="s">
        <v>1586</v>
      </c>
      <c r="J136" s="14" t="s">
        <v>1586</v>
      </c>
      <c r="K136" s="14" t="s">
        <v>1586</v>
      </c>
      <c r="L136" s="14" t="s">
        <v>1586</v>
      </c>
      <c r="M136" s="14" t="s">
        <v>1586</v>
      </c>
      <c r="N136" s="14" t="s">
        <v>1586</v>
      </c>
      <c r="O136" s="15">
        <v>9</v>
      </c>
      <c r="P136" s="14" t="s">
        <v>1586</v>
      </c>
      <c r="Q136" s="15">
        <v>3</v>
      </c>
      <c r="R136" s="14" t="s">
        <v>1586</v>
      </c>
    </row>
    <row r="137" spans="1:18" ht="14.25">
      <c r="A137" s="6">
        <v>134</v>
      </c>
      <c r="B137" s="7" t="s">
        <v>261</v>
      </c>
      <c r="C137" s="8">
        <v>21</v>
      </c>
      <c r="D137" s="8">
        <v>797</v>
      </c>
      <c r="E137" s="14" t="s">
        <v>1586</v>
      </c>
      <c r="F137" s="14" t="s">
        <v>1586</v>
      </c>
      <c r="G137" s="14" t="s">
        <v>1586</v>
      </c>
      <c r="H137" s="14" t="s">
        <v>1586</v>
      </c>
      <c r="I137" s="14" t="s">
        <v>1586</v>
      </c>
      <c r="J137" s="14" t="s">
        <v>1586</v>
      </c>
      <c r="K137" s="14" t="s">
        <v>1586</v>
      </c>
      <c r="L137" s="14" t="s">
        <v>1586</v>
      </c>
      <c r="M137" s="14" t="s">
        <v>1586</v>
      </c>
      <c r="N137" s="14" t="s">
        <v>1586</v>
      </c>
      <c r="O137" s="15">
        <v>1</v>
      </c>
      <c r="P137" s="15">
        <v>1</v>
      </c>
      <c r="Q137" s="14" t="s">
        <v>1586</v>
      </c>
      <c r="R137" s="15">
        <v>1</v>
      </c>
    </row>
    <row r="138" spans="1:18" ht="14.25">
      <c r="A138" s="6">
        <v>135</v>
      </c>
      <c r="B138" s="7" t="s">
        <v>263</v>
      </c>
      <c r="C138" s="8">
        <v>106</v>
      </c>
      <c r="D138" s="8">
        <v>793</v>
      </c>
      <c r="E138" s="14" t="s">
        <v>1586</v>
      </c>
      <c r="F138" s="14" t="s">
        <v>1586</v>
      </c>
      <c r="G138" s="14" t="s">
        <v>1586</v>
      </c>
      <c r="H138" s="14" t="s">
        <v>1586</v>
      </c>
      <c r="I138" s="14" t="s">
        <v>1586</v>
      </c>
      <c r="J138" s="14" t="s">
        <v>1586</v>
      </c>
      <c r="K138" s="14" t="s">
        <v>1586</v>
      </c>
      <c r="L138" s="15">
        <v>1</v>
      </c>
      <c r="M138" s="14" t="s">
        <v>1586</v>
      </c>
      <c r="N138" s="14" t="s">
        <v>1586</v>
      </c>
      <c r="O138" s="15">
        <v>3</v>
      </c>
      <c r="P138" s="14" t="s">
        <v>1586</v>
      </c>
      <c r="Q138" s="15">
        <v>1</v>
      </c>
      <c r="R138" s="14" t="s">
        <v>1586</v>
      </c>
    </row>
    <row r="139" spans="1:18" ht="14.25">
      <c r="A139" s="6">
        <v>136</v>
      </c>
      <c r="B139" s="7" t="s">
        <v>265</v>
      </c>
      <c r="C139" s="8">
        <v>101.5</v>
      </c>
      <c r="D139" s="8">
        <v>790</v>
      </c>
      <c r="E139" s="14" t="s">
        <v>1586</v>
      </c>
      <c r="F139" s="14" t="s">
        <v>1586</v>
      </c>
      <c r="G139" s="14" t="s">
        <v>1586</v>
      </c>
      <c r="H139" s="14" t="s">
        <v>1586</v>
      </c>
      <c r="I139" s="14" t="s">
        <v>1586</v>
      </c>
      <c r="J139" s="14" t="s">
        <v>1586</v>
      </c>
      <c r="K139" s="14" t="s">
        <v>1586</v>
      </c>
      <c r="L139" s="14" t="s">
        <v>1586</v>
      </c>
      <c r="M139" s="15">
        <v>1</v>
      </c>
      <c r="N139" s="15">
        <v>2</v>
      </c>
      <c r="O139" s="15">
        <v>2</v>
      </c>
      <c r="P139" s="15">
        <v>1</v>
      </c>
      <c r="Q139" s="14" t="s">
        <v>1586</v>
      </c>
      <c r="R139" s="14" t="s">
        <v>1586</v>
      </c>
    </row>
    <row r="140" spans="1:18" ht="14.25">
      <c r="A140" s="6">
        <v>137</v>
      </c>
      <c r="B140" s="7" t="s">
        <v>266</v>
      </c>
      <c r="C140" s="8">
        <v>22.8</v>
      </c>
      <c r="D140" s="8">
        <v>771</v>
      </c>
      <c r="E140" s="14" t="s">
        <v>1586</v>
      </c>
      <c r="F140" s="14" t="s">
        <v>1586</v>
      </c>
      <c r="G140" s="14" t="s">
        <v>1586</v>
      </c>
      <c r="H140" s="14" t="s">
        <v>1586</v>
      </c>
      <c r="I140" s="14" t="s">
        <v>1586</v>
      </c>
      <c r="J140" s="14" t="s">
        <v>1586</v>
      </c>
      <c r="K140" s="14" t="s">
        <v>1586</v>
      </c>
      <c r="L140" s="15">
        <v>1</v>
      </c>
      <c r="M140" s="15">
        <v>2</v>
      </c>
      <c r="N140" s="15">
        <v>1</v>
      </c>
      <c r="O140" s="15">
        <v>4</v>
      </c>
      <c r="P140" s="15">
        <v>1</v>
      </c>
      <c r="Q140" s="15">
        <v>1</v>
      </c>
      <c r="R140" s="15">
        <v>3</v>
      </c>
    </row>
    <row r="141" spans="1:18" ht="14.25">
      <c r="A141" s="6">
        <v>138</v>
      </c>
      <c r="B141" s="7" t="s">
        <v>268</v>
      </c>
      <c r="C141" s="8">
        <v>435</v>
      </c>
      <c r="D141" s="8">
        <v>765</v>
      </c>
      <c r="E141" s="14" t="s">
        <v>1586</v>
      </c>
      <c r="F141" s="14" t="s">
        <v>1586</v>
      </c>
      <c r="G141" s="14" t="s">
        <v>1586</v>
      </c>
      <c r="H141" s="14" t="s">
        <v>1586</v>
      </c>
      <c r="I141" s="14" t="s">
        <v>1586</v>
      </c>
      <c r="J141" s="14" t="s">
        <v>1586</v>
      </c>
      <c r="K141" s="14" t="s">
        <v>1586</v>
      </c>
      <c r="L141" s="15">
        <v>1</v>
      </c>
      <c r="M141" s="14" t="s">
        <v>1586</v>
      </c>
      <c r="N141" s="14" t="s">
        <v>1586</v>
      </c>
      <c r="O141" s="14" t="s">
        <v>1586</v>
      </c>
      <c r="P141" s="15">
        <v>1</v>
      </c>
      <c r="Q141" s="14" t="s">
        <v>1586</v>
      </c>
      <c r="R141" s="15">
        <v>1</v>
      </c>
    </row>
    <row r="142" spans="1:18" ht="14.25">
      <c r="A142" s="6">
        <v>139</v>
      </c>
      <c r="B142" s="7" t="s">
        <v>270</v>
      </c>
      <c r="C142" s="8">
        <v>355</v>
      </c>
      <c r="D142" s="8">
        <v>765</v>
      </c>
      <c r="E142" s="14" t="s">
        <v>1586</v>
      </c>
      <c r="F142" s="14" t="s">
        <v>1586</v>
      </c>
      <c r="G142" s="14" t="s">
        <v>1586</v>
      </c>
      <c r="H142" s="14" t="s">
        <v>1586</v>
      </c>
      <c r="I142" s="14" t="s">
        <v>1586</v>
      </c>
      <c r="J142" s="14" t="s">
        <v>1586</v>
      </c>
      <c r="K142" s="14" t="s">
        <v>1586</v>
      </c>
      <c r="L142" s="14" t="s">
        <v>1586</v>
      </c>
      <c r="M142" s="15">
        <v>1</v>
      </c>
      <c r="N142" s="14" t="s">
        <v>1586</v>
      </c>
      <c r="O142" s="15">
        <v>1</v>
      </c>
      <c r="P142" s="14" t="s">
        <v>1586</v>
      </c>
      <c r="Q142" s="14" t="s">
        <v>1586</v>
      </c>
      <c r="R142" s="14" t="s">
        <v>1586</v>
      </c>
    </row>
    <row r="143" spans="1:18" ht="14.25">
      <c r="A143" s="6">
        <v>140</v>
      </c>
      <c r="B143" s="7" t="s">
        <v>271</v>
      </c>
      <c r="C143" s="8">
        <v>371</v>
      </c>
      <c r="D143" s="8">
        <v>765</v>
      </c>
      <c r="E143" s="14" t="s">
        <v>1586</v>
      </c>
      <c r="F143" s="14" t="s">
        <v>1586</v>
      </c>
      <c r="G143" s="14" t="s">
        <v>1586</v>
      </c>
      <c r="H143" s="14" t="s">
        <v>1586</v>
      </c>
      <c r="I143" s="14" t="s">
        <v>1586</v>
      </c>
      <c r="J143" s="14" t="s">
        <v>1586</v>
      </c>
      <c r="K143" s="14" t="s">
        <v>1586</v>
      </c>
      <c r="L143" s="14" t="s">
        <v>1586</v>
      </c>
      <c r="M143" s="14" t="s">
        <v>1586</v>
      </c>
      <c r="N143" s="15">
        <v>1</v>
      </c>
      <c r="O143" s="14" t="s">
        <v>1586</v>
      </c>
      <c r="P143" s="14" t="s">
        <v>1586</v>
      </c>
      <c r="Q143" s="14" t="s">
        <v>1586</v>
      </c>
      <c r="R143" s="15">
        <v>1</v>
      </c>
    </row>
    <row r="144" spans="1:18" ht="14.25">
      <c r="A144" s="6">
        <v>141</v>
      </c>
      <c r="B144" s="7" t="s">
        <v>272</v>
      </c>
      <c r="C144" s="8">
        <v>62.7</v>
      </c>
      <c r="D144" s="8">
        <v>754</v>
      </c>
      <c r="E144" s="14" t="s">
        <v>1586</v>
      </c>
      <c r="F144" s="14" t="s">
        <v>1586</v>
      </c>
      <c r="G144" s="14" t="s">
        <v>1586</v>
      </c>
      <c r="H144" s="14" t="s">
        <v>1586</v>
      </c>
      <c r="I144" s="14" t="s">
        <v>1586</v>
      </c>
      <c r="J144" s="14" t="s">
        <v>1586</v>
      </c>
      <c r="K144" s="14" t="s">
        <v>1586</v>
      </c>
      <c r="L144" s="14" t="s">
        <v>1586</v>
      </c>
      <c r="M144" s="15">
        <v>1</v>
      </c>
      <c r="N144" s="14" t="s">
        <v>1586</v>
      </c>
      <c r="O144" s="15">
        <v>1</v>
      </c>
      <c r="P144" s="14" t="s">
        <v>1586</v>
      </c>
      <c r="Q144" s="14" t="s">
        <v>1586</v>
      </c>
      <c r="R144" s="14" t="s">
        <v>1586</v>
      </c>
    </row>
    <row r="145" spans="1:18" ht="14.25">
      <c r="A145" s="6">
        <v>142</v>
      </c>
      <c r="B145" s="7" t="s">
        <v>274</v>
      </c>
      <c r="C145" s="8">
        <v>200</v>
      </c>
      <c r="D145" s="8">
        <v>750</v>
      </c>
      <c r="E145" s="14" t="s">
        <v>1586</v>
      </c>
      <c r="F145" s="14" t="s">
        <v>1586</v>
      </c>
      <c r="G145" s="14" t="s">
        <v>1586</v>
      </c>
      <c r="H145" s="14" t="s">
        <v>1586</v>
      </c>
      <c r="I145" s="14" t="s">
        <v>1586</v>
      </c>
      <c r="J145" s="14" t="s">
        <v>1586</v>
      </c>
      <c r="K145" s="14" t="s">
        <v>1586</v>
      </c>
      <c r="L145" s="14" t="s">
        <v>1586</v>
      </c>
      <c r="M145" s="14" t="s">
        <v>1586</v>
      </c>
      <c r="N145" s="15">
        <v>1</v>
      </c>
      <c r="O145" s="14" t="s">
        <v>1586</v>
      </c>
      <c r="P145" s="15">
        <v>1</v>
      </c>
      <c r="Q145" s="14" t="s">
        <v>1586</v>
      </c>
      <c r="R145" s="14" t="s">
        <v>1586</v>
      </c>
    </row>
    <row r="146" spans="1:18" ht="14.25">
      <c r="A146" s="6">
        <v>143</v>
      </c>
      <c r="B146" s="7" t="s">
        <v>276</v>
      </c>
      <c r="C146" s="8">
        <v>740</v>
      </c>
      <c r="D146" s="8">
        <v>740</v>
      </c>
      <c r="E146" s="14" t="s">
        <v>1586</v>
      </c>
      <c r="F146" s="14" t="s">
        <v>1586</v>
      </c>
      <c r="G146" s="14" t="s">
        <v>1586</v>
      </c>
      <c r="H146" s="14" t="s">
        <v>1586</v>
      </c>
      <c r="I146" s="14" t="s">
        <v>1586</v>
      </c>
      <c r="J146" s="14" t="s">
        <v>1586</v>
      </c>
      <c r="K146" s="14" t="s">
        <v>1586</v>
      </c>
      <c r="L146" s="14" t="s">
        <v>1586</v>
      </c>
      <c r="M146" s="14" t="s">
        <v>1586</v>
      </c>
      <c r="N146" s="14" t="s">
        <v>1586</v>
      </c>
      <c r="O146" s="14" t="s">
        <v>1586</v>
      </c>
      <c r="P146" s="14" t="s">
        <v>1586</v>
      </c>
      <c r="Q146" s="14" t="s">
        <v>1586</v>
      </c>
      <c r="R146" s="15">
        <v>1</v>
      </c>
    </row>
    <row r="147" spans="1:18" ht="14.25">
      <c r="A147" s="6">
        <v>144</v>
      </c>
      <c r="B147" s="7" t="s">
        <v>277</v>
      </c>
      <c r="C147" s="8">
        <v>44.6</v>
      </c>
      <c r="D147" s="8">
        <v>730.5</v>
      </c>
      <c r="E147" s="14" t="s">
        <v>1586</v>
      </c>
      <c r="F147" s="14" t="s">
        <v>1586</v>
      </c>
      <c r="G147" s="14" t="s">
        <v>1586</v>
      </c>
      <c r="H147" s="14" t="s">
        <v>1586</v>
      </c>
      <c r="I147" s="14" t="s">
        <v>1586</v>
      </c>
      <c r="J147" s="14" t="s">
        <v>1586</v>
      </c>
      <c r="K147" s="14" t="s">
        <v>1586</v>
      </c>
      <c r="L147" s="14" t="s">
        <v>1586</v>
      </c>
      <c r="M147" s="14" t="s">
        <v>1586</v>
      </c>
      <c r="N147" s="15">
        <v>2</v>
      </c>
      <c r="O147" s="15">
        <v>1</v>
      </c>
      <c r="P147" s="14" t="s">
        <v>1586</v>
      </c>
      <c r="Q147" s="14" t="s">
        <v>1586</v>
      </c>
      <c r="R147" s="14" t="s">
        <v>1586</v>
      </c>
    </row>
    <row r="148" spans="1:18" ht="14.25">
      <c r="A148" s="6">
        <v>145</v>
      </c>
      <c r="B148" s="7" t="s">
        <v>279</v>
      </c>
      <c r="C148" s="8">
        <v>730.5</v>
      </c>
      <c r="D148" s="8">
        <v>730.5</v>
      </c>
      <c r="E148" s="14" t="s">
        <v>1586</v>
      </c>
      <c r="F148" s="14" t="s">
        <v>1586</v>
      </c>
      <c r="G148" s="14" t="s">
        <v>1586</v>
      </c>
      <c r="H148" s="14" t="s">
        <v>1586</v>
      </c>
      <c r="I148" s="14" t="s">
        <v>1586</v>
      </c>
      <c r="J148" s="14" t="s">
        <v>1586</v>
      </c>
      <c r="K148" s="14" t="s">
        <v>1586</v>
      </c>
      <c r="L148" s="14" t="s">
        <v>1586</v>
      </c>
      <c r="M148" s="14" t="s">
        <v>1586</v>
      </c>
      <c r="N148" s="14" t="s">
        <v>1586</v>
      </c>
      <c r="O148" s="15">
        <v>1</v>
      </c>
      <c r="P148" s="14" t="s">
        <v>1586</v>
      </c>
      <c r="Q148" s="14" t="s">
        <v>1586</v>
      </c>
      <c r="R148" s="14" t="s">
        <v>1586</v>
      </c>
    </row>
    <row r="149" spans="1:18" ht="14.25">
      <c r="A149" s="6">
        <v>146</v>
      </c>
      <c r="B149" s="7" t="s">
        <v>280</v>
      </c>
      <c r="C149" s="8">
        <v>66</v>
      </c>
      <c r="D149" s="8">
        <v>730</v>
      </c>
      <c r="E149" s="14" t="s">
        <v>1586</v>
      </c>
      <c r="F149" s="14" t="s">
        <v>1586</v>
      </c>
      <c r="G149" s="14" t="s">
        <v>1586</v>
      </c>
      <c r="H149" s="14" t="s">
        <v>1586</v>
      </c>
      <c r="I149" s="14" t="s">
        <v>1586</v>
      </c>
      <c r="J149" s="14" t="s">
        <v>1586</v>
      </c>
      <c r="K149" s="14" t="s">
        <v>1586</v>
      </c>
      <c r="L149" s="14" t="s">
        <v>1586</v>
      </c>
      <c r="M149" s="14" t="s">
        <v>1586</v>
      </c>
      <c r="N149" s="14" t="s">
        <v>1586</v>
      </c>
      <c r="O149" s="14" t="s">
        <v>1586</v>
      </c>
      <c r="P149" s="14" t="s">
        <v>1586</v>
      </c>
      <c r="Q149" s="15">
        <v>1</v>
      </c>
      <c r="R149" s="15">
        <v>2</v>
      </c>
    </row>
    <row r="150" spans="1:18" ht="14.25">
      <c r="A150" s="6">
        <v>147</v>
      </c>
      <c r="B150" s="7" t="s">
        <v>282</v>
      </c>
      <c r="C150" s="8">
        <v>71.8</v>
      </c>
      <c r="D150" s="8">
        <v>725</v>
      </c>
      <c r="E150" s="14" t="s">
        <v>1586</v>
      </c>
      <c r="F150" s="14" t="s">
        <v>1586</v>
      </c>
      <c r="G150" s="14" t="s">
        <v>1586</v>
      </c>
      <c r="H150" s="14" t="s">
        <v>1586</v>
      </c>
      <c r="I150" s="14" t="s">
        <v>1586</v>
      </c>
      <c r="J150" s="14" t="s">
        <v>1586</v>
      </c>
      <c r="K150" s="14" t="s">
        <v>1586</v>
      </c>
      <c r="L150" s="14" t="s">
        <v>1586</v>
      </c>
      <c r="M150" s="14" t="s">
        <v>1586</v>
      </c>
      <c r="N150" s="14" t="s">
        <v>1586</v>
      </c>
      <c r="O150" s="15">
        <v>5</v>
      </c>
      <c r="P150" s="15">
        <v>2</v>
      </c>
      <c r="Q150" s="15">
        <v>2</v>
      </c>
      <c r="R150" s="15">
        <v>2</v>
      </c>
    </row>
    <row r="151" spans="1:18" ht="14.25">
      <c r="A151" s="6">
        <v>148</v>
      </c>
      <c r="B151" s="7" t="s">
        <v>284</v>
      </c>
      <c r="C151" s="8">
        <v>58</v>
      </c>
      <c r="D151" s="8">
        <v>720</v>
      </c>
      <c r="E151" s="14" t="s">
        <v>1586</v>
      </c>
      <c r="F151" s="14" t="s">
        <v>1586</v>
      </c>
      <c r="G151" s="14" t="s">
        <v>1586</v>
      </c>
      <c r="H151" s="14" t="s">
        <v>1586</v>
      </c>
      <c r="I151" s="14" t="s">
        <v>1586</v>
      </c>
      <c r="J151" s="14" t="s">
        <v>1586</v>
      </c>
      <c r="K151" s="14" t="s">
        <v>1586</v>
      </c>
      <c r="L151" s="14" t="s">
        <v>1586</v>
      </c>
      <c r="M151" s="14" t="s">
        <v>1586</v>
      </c>
      <c r="N151" s="15">
        <v>1</v>
      </c>
      <c r="O151" s="15">
        <v>1</v>
      </c>
      <c r="P151" s="14" t="s">
        <v>1586</v>
      </c>
      <c r="Q151" s="15">
        <v>1</v>
      </c>
      <c r="R151" s="14" t="s">
        <v>1586</v>
      </c>
    </row>
    <row r="152" spans="1:18" ht="14.25">
      <c r="A152" s="6">
        <v>149</v>
      </c>
      <c r="B152" s="7" t="s">
        <v>286</v>
      </c>
      <c r="C152" s="8">
        <v>40.799999999999997</v>
      </c>
      <c r="D152" s="8">
        <v>700</v>
      </c>
      <c r="E152" s="14" t="s">
        <v>1586</v>
      </c>
      <c r="F152" s="14" t="s">
        <v>1586</v>
      </c>
      <c r="G152" s="14" t="s">
        <v>1586</v>
      </c>
      <c r="H152" s="14" t="s">
        <v>1586</v>
      </c>
      <c r="I152" s="15">
        <v>1</v>
      </c>
      <c r="J152" s="14" t="s">
        <v>1586</v>
      </c>
      <c r="K152" s="14" t="s">
        <v>1586</v>
      </c>
      <c r="L152" s="14" t="s">
        <v>1586</v>
      </c>
      <c r="M152" s="14" t="s">
        <v>1586</v>
      </c>
      <c r="N152" s="15">
        <v>2</v>
      </c>
      <c r="O152" s="15">
        <v>1</v>
      </c>
      <c r="P152" s="14" t="s">
        <v>1586</v>
      </c>
      <c r="Q152" s="14" t="s">
        <v>1586</v>
      </c>
      <c r="R152" s="14" t="s">
        <v>1586</v>
      </c>
    </row>
    <row r="153" spans="1:18" ht="14.25">
      <c r="A153" s="6">
        <v>150</v>
      </c>
      <c r="B153" s="7" t="s">
        <v>288</v>
      </c>
      <c r="C153" s="8">
        <v>525</v>
      </c>
      <c r="D153" s="8">
        <v>700</v>
      </c>
      <c r="E153" s="14" t="s">
        <v>1586</v>
      </c>
      <c r="F153" s="14" t="s">
        <v>1586</v>
      </c>
      <c r="G153" s="14" t="s">
        <v>1586</v>
      </c>
      <c r="H153" s="14" t="s">
        <v>1586</v>
      </c>
      <c r="I153" s="15">
        <v>1</v>
      </c>
      <c r="J153" s="14" t="s">
        <v>1586</v>
      </c>
      <c r="K153" s="14" t="s">
        <v>1586</v>
      </c>
      <c r="L153" s="14" t="s">
        <v>1586</v>
      </c>
      <c r="M153" s="14" t="s">
        <v>1586</v>
      </c>
      <c r="N153" s="15">
        <v>1</v>
      </c>
      <c r="O153" s="15">
        <v>1</v>
      </c>
      <c r="P153" s="14" t="s">
        <v>1586</v>
      </c>
      <c r="Q153" s="14" t="s">
        <v>1586</v>
      </c>
      <c r="R153" s="14" t="s">
        <v>1586</v>
      </c>
    </row>
    <row r="154" spans="1:18" ht="14.25">
      <c r="A154" s="6">
        <v>151</v>
      </c>
      <c r="B154" s="7" t="s">
        <v>289</v>
      </c>
      <c r="C154" s="8">
        <v>101.5</v>
      </c>
      <c r="D154" s="8">
        <v>697.1</v>
      </c>
      <c r="E154" s="14" t="s">
        <v>1586</v>
      </c>
      <c r="F154" s="14" t="s">
        <v>1586</v>
      </c>
      <c r="G154" s="14" t="s">
        <v>1586</v>
      </c>
      <c r="H154" s="14" t="s">
        <v>1586</v>
      </c>
      <c r="I154" s="14" t="s">
        <v>1586</v>
      </c>
      <c r="J154" s="14" t="s">
        <v>1586</v>
      </c>
      <c r="K154" s="15">
        <v>1</v>
      </c>
      <c r="L154" s="15">
        <v>1</v>
      </c>
      <c r="M154" s="14" t="s">
        <v>1586</v>
      </c>
      <c r="N154" s="15">
        <v>2</v>
      </c>
      <c r="O154" s="14" t="s">
        <v>1586</v>
      </c>
      <c r="P154" s="15">
        <v>1</v>
      </c>
      <c r="Q154" s="14" t="s">
        <v>1586</v>
      </c>
      <c r="R154" s="15">
        <v>1</v>
      </c>
    </row>
    <row r="155" spans="1:18" ht="14.25">
      <c r="A155" s="6">
        <v>152</v>
      </c>
      <c r="B155" s="7" t="s">
        <v>290</v>
      </c>
      <c r="C155" s="8">
        <v>107</v>
      </c>
      <c r="D155" s="8">
        <v>667</v>
      </c>
      <c r="E155" s="14" t="s">
        <v>1586</v>
      </c>
      <c r="F155" s="14" t="s">
        <v>1586</v>
      </c>
      <c r="G155" s="14" t="s">
        <v>1586</v>
      </c>
      <c r="H155" s="14" t="s">
        <v>1586</v>
      </c>
      <c r="I155" s="14" t="s">
        <v>1586</v>
      </c>
      <c r="J155" s="14" t="s">
        <v>1586</v>
      </c>
      <c r="K155" s="14" t="s">
        <v>1586</v>
      </c>
      <c r="L155" s="14" t="s">
        <v>1586</v>
      </c>
      <c r="M155" s="14" t="s">
        <v>1586</v>
      </c>
      <c r="N155" s="15">
        <v>1</v>
      </c>
      <c r="O155" s="15">
        <v>3</v>
      </c>
      <c r="P155" s="14" t="s">
        <v>1586</v>
      </c>
      <c r="Q155" s="15">
        <v>1</v>
      </c>
      <c r="R155" s="15">
        <v>1</v>
      </c>
    </row>
    <row r="156" spans="1:18" ht="14.25">
      <c r="A156" s="6">
        <v>153</v>
      </c>
      <c r="B156" s="7" t="s">
        <v>292</v>
      </c>
      <c r="C156" s="8">
        <v>51</v>
      </c>
      <c r="D156" s="8">
        <v>661</v>
      </c>
      <c r="E156" s="14" t="s">
        <v>1586</v>
      </c>
      <c r="F156" s="14" t="s">
        <v>1586</v>
      </c>
      <c r="G156" s="14" t="s">
        <v>1586</v>
      </c>
      <c r="H156" s="14" t="s">
        <v>1586</v>
      </c>
      <c r="I156" s="14" t="s">
        <v>1586</v>
      </c>
      <c r="J156" s="14" t="s">
        <v>1586</v>
      </c>
      <c r="K156" s="14" t="s">
        <v>1586</v>
      </c>
      <c r="L156" s="14" t="s">
        <v>1586</v>
      </c>
      <c r="M156" s="14" t="s">
        <v>1586</v>
      </c>
      <c r="N156" s="14" t="s">
        <v>1586</v>
      </c>
      <c r="O156" s="15">
        <v>2</v>
      </c>
      <c r="P156" s="15">
        <v>1</v>
      </c>
      <c r="Q156" s="15">
        <v>1</v>
      </c>
      <c r="R156" s="14" t="s">
        <v>1586</v>
      </c>
    </row>
    <row r="157" spans="1:18" ht="14.25">
      <c r="A157" s="6">
        <v>154</v>
      </c>
      <c r="B157" s="7" t="s">
        <v>294</v>
      </c>
      <c r="C157" s="8">
        <v>130</v>
      </c>
      <c r="D157" s="8">
        <v>660</v>
      </c>
      <c r="E157" s="14" t="s">
        <v>1586</v>
      </c>
      <c r="F157" s="14" t="s">
        <v>1586</v>
      </c>
      <c r="G157" s="14" t="s">
        <v>1586</v>
      </c>
      <c r="H157" s="14" t="s">
        <v>1586</v>
      </c>
      <c r="I157" s="14" t="s">
        <v>1586</v>
      </c>
      <c r="J157" s="14" t="s">
        <v>1586</v>
      </c>
      <c r="K157" s="14" t="s">
        <v>1586</v>
      </c>
      <c r="L157" s="14" t="s">
        <v>1586</v>
      </c>
      <c r="M157" s="14" t="s">
        <v>1586</v>
      </c>
      <c r="N157" s="14" t="s">
        <v>1586</v>
      </c>
      <c r="O157" s="15">
        <v>2</v>
      </c>
      <c r="P157" s="14" t="s">
        <v>1586</v>
      </c>
      <c r="Q157" s="14" t="s">
        <v>1586</v>
      </c>
      <c r="R157" s="14" t="s">
        <v>1586</v>
      </c>
    </row>
    <row r="158" spans="1:18" ht="14.25">
      <c r="A158" s="6">
        <v>155</v>
      </c>
      <c r="B158" s="7" t="s">
        <v>295</v>
      </c>
      <c r="C158" s="8">
        <v>83</v>
      </c>
      <c r="D158" s="8">
        <v>660</v>
      </c>
      <c r="E158" s="14" t="s">
        <v>1586</v>
      </c>
      <c r="F158" s="14" t="s">
        <v>1586</v>
      </c>
      <c r="G158" s="14" t="s">
        <v>1586</v>
      </c>
      <c r="H158" s="14" t="s">
        <v>1586</v>
      </c>
      <c r="I158" s="14" t="s">
        <v>1586</v>
      </c>
      <c r="J158" s="14" t="s">
        <v>1586</v>
      </c>
      <c r="K158" s="14" t="s">
        <v>1586</v>
      </c>
      <c r="L158" s="14" t="s">
        <v>1586</v>
      </c>
      <c r="M158" s="14" t="s">
        <v>1586</v>
      </c>
      <c r="N158" s="15">
        <v>1</v>
      </c>
      <c r="O158" s="15">
        <v>1</v>
      </c>
      <c r="P158" s="15">
        <v>1</v>
      </c>
      <c r="Q158" s="14" t="s">
        <v>1586</v>
      </c>
      <c r="R158" s="14" t="s">
        <v>1586</v>
      </c>
    </row>
    <row r="159" spans="1:18" ht="14.25">
      <c r="A159" s="6">
        <v>156</v>
      </c>
      <c r="B159" s="7" t="s">
        <v>296</v>
      </c>
      <c r="C159" s="8">
        <v>653</v>
      </c>
      <c r="D159" s="8">
        <v>653</v>
      </c>
      <c r="E159" s="14" t="s">
        <v>1586</v>
      </c>
      <c r="F159" s="14" t="s">
        <v>1586</v>
      </c>
      <c r="G159" s="14" t="s">
        <v>1586</v>
      </c>
      <c r="H159" s="14" t="s">
        <v>1586</v>
      </c>
      <c r="I159" s="14" t="s">
        <v>1586</v>
      </c>
      <c r="J159" s="14" t="s">
        <v>1586</v>
      </c>
      <c r="K159" s="14" t="s">
        <v>1586</v>
      </c>
      <c r="L159" s="14" t="s">
        <v>1586</v>
      </c>
      <c r="M159" s="14" t="s">
        <v>1586</v>
      </c>
      <c r="N159" s="14" t="s">
        <v>1586</v>
      </c>
      <c r="O159" s="15">
        <v>1</v>
      </c>
      <c r="P159" s="14" t="s">
        <v>1586</v>
      </c>
      <c r="Q159" s="14" t="s">
        <v>1586</v>
      </c>
      <c r="R159" s="14" t="s">
        <v>1586</v>
      </c>
    </row>
    <row r="160" spans="1:18" ht="14.25">
      <c r="A160" s="6">
        <v>157</v>
      </c>
      <c r="B160" s="7" t="s">
        <v>297</v>
      </c>
      <c r="C160" s="8">
        <v>111</v>
      </c>
      <c r="D160" s="8">
        <v>635</v>
      </c>
      <c r="E160" s="14" t="s">
        <v>1586</v>
      </c>
      <c r="F160" s="14" t="s">
        <v>1586</v>
      </c>
      <c r="G160" s="14" t="s">
        <v>1586</v>
      </c>
      <c r="H160" s="14" t="s">
        <v>1586</v>
      </c>
      <c r="I160" s="14" t="s">
        <v>1586</v>
      </c>
      <c r="J160" s="14" t="s">
        <v>1586</v>
      </c>
      <c r="K160" s="14" t="s">
        <v>1586</v>
      </c>
      <c r="L160" s="14" t="s">
        <v>1586</v>
      </c>
      <c r="M160" s="14" t="s">
        <v>1586</v>
      </c>
      <c r="N160" s="14" t="s">
        <v>1586</v>
      </c>
      <c r="O160" s="15">
        <v>1</v>
      </c>
      <c r="P160" s="15">
        <v>1</v>
      </c>
      <c r="Q160" s="14" t="s">
        <v>1586</v>
      </c>
      <c r="R160" s="14" t="s">
        <v>1586</v>
      </c>
    </row>
    <row r="161" spans="1:18" ht="14.25">
      <c r="A161" s="6">
        <v>158</v>
      </c>
      <c r="B161" s="7" t="s">
        <v>298</v>
      </c>
      <c r="C161" s="8">
        <v>600</v>
      </c>
      <c r="D161" s="8">
        <v>625</v>
      </c>
      <c r="E161" s="14" t="s">
        <v>1586</v>
      </c>
      <c r="F161" s="14" t="s">
        <v>1586</v>
      </c>
      <c r="G161" s="14" t="s">
        <v>1586</v>
      </c>
      <c r="H161" s="14" t="s">
        <v>1586</v>
      </c>
      <c r="I161" s="14" t="s">
        <v>1586</v>
      </c>
      <c r="J161" s="14" t="s">
        <v>1586</v>
      </c>
      <c r="K161" s="14" t="s">
        <v>1586</v>
      </c>
      <c r="L161" s="14" t="s">
        <v>1586</v>
      </c>
      <c r="M161" s="14" t="s">
        <v>1586</v>
      </c>
      <c r="N161" s="14" t="s">
        <v>1586</v>
      </c>
      <c r="O161" s="15">
        <v>1</v>
      </c>
      <c r="P161" s="14" t="s">
        <v>1586</v>
      </c>
      <c r="Q161" s="14" t="s">
        <v>1586</v>
      </c>
      <c r="R161" s="15">
        <v>1</v>
      </c>
    </row>
    <row r="162" spans="1:18" ht="14.25">
      <c r="A162" s="6">
        <v>159</v>
      </c>
      <c r="B162" s="7" t="s">
        <v>299</v>
      </c>
      <c r="C162" s="8">
        <v>43</v>
      </c>
      <c r="D162" s="8">
        <v>611</v>
      </c>
      <c r="E162" s="14" t="s">
        <v>1586</v>
      </c>
      <c r="F162" s="14" t="s">
        <v>1586</v>
      </c>
      <c r="G162" s="14" t="s">
        <v>1586</v>
      </c>
      <c r="H162" s="14" t="s">
        <v>1586</v>
      </c>
      <c r="I162" s="14" t="s">
        <v>1586</v>
      </c>
      <c r="J162" s="14" t="s">
        <v>1586</v>
      </c>
      <c r="K162" s="14" t="s">
        <v>1586</v>
      </c>
      <c r="L162" s="15">
        <v>1</v>
      </c>
      <c r="M162" s="15">
        <v>1</v>
      </c>
      <c r="N162" s="15">
        <v>1</v>
      </c>
      <c r="O162" s="15">
        <v>2</v>
      </c>
      <c r="P162" s="14" t="s">
        <v>1586</v>
      </c>
      <c r="Q162" s="15">
        <v>1</v>
      </c>
      <c r="R162" s="14" t="s">
        <v>1586</v>
      </c>
    </row>
    <row r="163" spans="1:18" ht="14.25">
      <c r="A163" s="6">
        <v>160</v>
      </c>
      <c r="B163" s="7" t="s">
        <v>300</v>
      </c>
      <c r="C163" s="8">
        <v>610</v>
      </c>
      <c r="D163" s="8">
        <v>610</v>
      </c>
      <c r="E163" s="14" t="s">
        <v>1586</v>
      </c>
      <c r="F163" s="14" t="s">
        <v>1586</v>
      </c>
      <c r="G163" s="14" t="s">
        <v>1586</v>
      </c>
      <c r="H163" s="14" t="s">
        <v>1586</v>
      </c>
      <c r="I163" s="14" t="s">
        <v>1586</v>
      </c>
      <c r="J163" s="14" t="s">
        <v>1586</v>
      </c>
      <c r="K163" s="14" t="s">
        <v>1586</v>
      </c>
      <c r="L163" s="14" t="s">
        <v>1586</v>
      </c>
      <c r="M163" s="14" t="s">
        <v>1586</v>
      </c>
      <c r="N163" s="14" t="s">
        <v>1586</v>
      </c>
      <c r="O163" s="14" t="s">
        <v>1586</v>
      </c>
      <c r="P163" s="14" t="s">
        <v>1586</v>
      </c>
      <c r="Q163" s="14" t="s">
        <v>1586</v>
      </c>
      <c r="R163" s="15">
        <v>1</v>
      </c>
    </row>
    <row r="164" spans="1:18" ht="14.25">
      <c r="A164" s="6">
        <v>161</v>
      </c>
      <c r="B164" s="7" t="s">
        <v>302</v>
      </c>
      <c r="C164" s="8">
        <v>121</v>
      </c>
      <c r="D164" s="8">
        <v>608.79999999999995</v>
      </c>
      <c r="E164" s="14" t="s">
        <v>1586</v>
      </c>
      <c r="F164" s="14" t="s">
        <v>1586</v>
      </c>
      <c r="G164" s="14" t="s">
        <v>1586</v>
      </c>
      <c r="H164" s="14" t="s">
        <v>1586</v>
      </c>
      <c r="I164" s="14" t="s">
        <v>1586</v>
      </c>
      <c r="J164" s="14" t="s">
        <v>1586</v>
      </c>
      <c r="K164" s="14" t="s">
        <v>1586</v>
      </c>
      <c r="L164" s="14" t="s">
        <v>1586</v>
      </c>
      <c r="M164" s="14" t="s">
        <v>1586</v>
      </c>
      <c r="N164" s="15">
        <v>1</v>
      </c>
      <c r="O164" s="14" t="s">
        <v>1586</v>
      </c>
      <c r="P164" s="14" t="s">
        <v>1586</v>
      </c>
      <c r="Q164" s="15">
        <v>1</v>
      </c>
      <c r="R164" s="14" t="s">
        <v>1586</v>
      </c>
    </row>
    <row r="165" spans="1:18" ht="14.25">
      <c r="A165" s="6">
        <v>162</v>
      </c>
      <c r="B165" s="7" t="s">
        <v>304</v>
      </c>
      <c r="C165" s="8">
        <v>210</v>
      </c>
      <c r="D165" s="8">
        <v>601</v>
      </c>
      <c r="E165" s="14" t="s">
        <v>1586</v>
      </c>
      <c r="F165" s="14" t="s">
        <v>1586</v>
      </c>
      <c r="G165" s="14" t="s">
        <v>1586</v>
      </c>
      <c r="H165" s="14" t="s">
        <v>1586</v>
      </c>
      <c r="I165" s="14" t="s">
        <v>1586</v>
      </c>
      <c r="J165" s="14" t="s">
        <v>1586</v>
      </c>
      <c r="K165" s="14" t="s">
        <v>1586</v>
      </c>
      <c r="L165" s="14" t="s">
        <v>1586</v>
      </c>
      <c r="M165" s="14" t="s">
        <v>1586</v>
      </c>
      <c r="N165" s="14" t="s">
        <v>1586</v>
      </c>
      <c r="O165" s="14" t="s">
        <v>1586</v>
      </c>
      <c r="P165" s="15">
        <v>1</v>
      </c>
      <c r="Q165" s="15">
        <v>1</v>
      </c>
      <c r="R165" s="14" t="s">
        <v>1586</v>
      </c>
    </row>
    <row r="166" spans="1:18" ht="14.25">
      <c r="A166" s="6">
        <v>163</v>
      </c>
      <c r="B166" s="7" t="s">
        <v>305</v>
      </c>
      <c r="C166" s="8">
        <v>123</v>
      </c>
      <c r="D166" s="8">
        <v>600</v>
      </c>
      <c r="E166" s="14" t="s">
        <v>1586</v>
      </c>
      <c r="F166" s="14" t="s">
        <v>1586</v>
      </c>
      <c r="G166" s="14" t="s">
        <v>1586</v>
      </c>
      <c r="H166" s="14" t="s">
        <v>1586</v>
      </c>
      <c r="I166" s="14" t="s">
        <v>1586</v>
      </c>
      <c r="J166" s="14" t="s">
        <v>1586</v>
      </c>
      <c r="K166" s="14" t="s">
        <v>1586</v>
      </c>
      <c r="L166" s="14" t="s">
        <v>1586</v>
      </c>
      <c r="M166" s="14" t="s">
        <v>1586</v>
      </c>
      <c r="N166" s="15">
        <v>1</v>
      </c>
      <c r="O166" s="14" t="s">
        <v>1586</v>
      </c>
      <c r="P166" s="15">
        <v>1</v>
      </c>
      <c r="Q166" s="14" t="s">
        <v>1586</v>
      </c>
      <c r="R166" s="14" t="s">
        <v>1586</v>
      </c>
    </row>
    <row r="167" spans="1:18" ht="14.25">
      <c r="A167" s="6">
        <v>164</v>
      </c>
      <c r="B167" s="7" t="s">
        <v>306</v>
      </c>
      <c r="C167" s="8">
        <v>32</v>
      </c>
      <c r="D167" s="8">
        <v>586.4</v>
      </c>
      <c r="E167" s="14" t="s">
        <v>1586</v>
      </c>
      <c r="F167" s="14" t="s">
        <v>1586</v>
      </c>
      <c r="G167" s="14" t="s">
        <v>1586</v>
      </c>
      <c r="H167" s="14" t="s">
        <v>1586</v>
      </c>
      <c r="I167" s="14" t="s">
        <v>1586</v>
      </c>
      <c r="J167" s="15">
        <v>1</v>
      </c>
      <c r="K167" s="14" t="s">
        <v>1586</v>
      </c>
      <c r="L167" s="15">
        <v>2</v>
      </c>
      <c r="M167" s="14" t="s">
        <v>1586</v>
      </c>
      <c r="N167" s="15">
        <v>2</v>
      </c>
      <c r="O167" s="15">
        <v>2</v>
      </c>
      <c r="P167" s="15">
        <v>1</v>
      </c>
      <c r="Q167" s="15">
        <v>2</v>
      </c>
      <c r="R167" s="14" t="s">
        <v>1586</v>
      </c>
    </row>
    <row r="168" spans="1:18" ht="14.25">
      <c r="A168" s="6">
        <v>165</v>
      </c>
      <c r="B168" s="7" t="s">
        <v>308</v>
      </c>
      <c r="C168" s="8">
        <v>201</v>
      </c>
      <c r="D168" s="8">
        <v>577.5</v>
      </c>
      <c r="E168" s="14" t="s">
        <v>1586</v>
      </c>
      <c r="F168" s="14" t="s">
        <v>1586</v>
      </c>
      <c r="G168" s="14" t="s">
        <v>1586</v>
      </c>
      <c r="H168" s="14" t="s">
        <v>1586</v>
      </c>
      <c r="I168" s="14" t="s">
        <v>1586</v>
      </c>
      <c r="J168" s="14" t="s">
        <v>1586</v>
      </c>
      <c r="K168" s="14" t="s">
        <v>1586</v>
      </c>
      <c r="L168" s="14" t="s">
        <v>1586</v>
      </c>
      <c r="M168" s="14" t="s">
        <v>1586</v>
      </c>
      <c r="N168" s="14" t="s">
        <v>1586</v>
      </c>
      <c r="O168" s="14" t="s">
        <v>1586</v>
      </c>
      <c r="P168" s="15">
        <v>1</v>
      </c>
      <c r="Q168" s="15">
        <v>1</v>
      </c>
      <c r="R168" s="14" t="s">
        <v>1586</v>
      </c>
    </row>
    <row r="169" spans="1:18" ht="14.25">
      <c r="A169" s="6">
        <v>166</v>
      </c>
      <c r="B169" s="7" t="s">
        <v>309</v>
      </c>
      <c r="C169" s="8">
        <v>104</v>
      </c>
      <c r="D169" s="8">
        <v>577.5</v>
      </c>
      <c r="E169" s="14" t="s">
        <v>1586</v>
      </c>
      <c r="F169" s="14" t="s">
        <v>1586</v>
      </c>
      <c r="G169" s="14" t="s">
        <v>1586</v>
      </c>
      <c r="H169" s="14" t="s">
        <v>1586</v>
      </c>
      <c r="I169" s="14" t="s">
        <v>1586</v>
      </c>
      <c r="J169" s="14" t="s">
        <v>1586</v>
      </c>
      <c r="K169" s="14" t="s">
        <v>1586</v>
      </c>
      <c r="L169" s="14" t="s">
        <v>1586</v>
      </c>
      <c r="M169" s="14" t="s">
        <v>1586</v>
      </c>
      <c r="N169" s="14" t="s">
        <v>1586</v>
      </c>
      <c r="O169" s="14" t="s">
        <v>1586</v>
      </c>
      <c r="P169" s="15">
        <v>1</v>
      </c>
      <c r="Q169" s="14" t="s">
        <v>1586</v>
      </c>
      <c r="R169" s="15">
        <v>1</v>
      </c>
    </row>
    <row r="170" spans="1:18" ht="14.25">
      <c r="A170" s="6">
        <v>167</v>
      </c>
      <c r="B170" s="7" t="s">
        <v>310</v>
      </c>
      <c r="C170" s="8">
        <v>326</v>
      </c>
      <c r="D170" s="8">
        <v>565</v>
      </c>
      <c r="E170" s="14" t="s">
        <v>1586</v>
      </c>
      <c r="F170" s="14" t="s">
        <v>1586</v>
      </c>
      <c r="G170" s="14" t="s">
        <v>1586</v>
      </c>
      <c r="H170" s="14" t="s">
        <v>1586</v>
      </c>
      <c r="I170" s="14" t="s">
        <v>1586</v>
      </c>
      <c r="J170" s="14" t="s">
        <v>1586</v>
      </c>
      <c r="K170" s="14" t="s">
        <v>1586</v>
      </c>
      <c r="L170" s="15">
        <v>1</v>
      </c>
      <c r="M170" s="14" t="s">
        <v>1586</v>
      </c>
      <c r="N170" s="14" t="s">
        <v>1586</v>
      </c>
      <c r="O170" s="14" t="s">
        <v>1586</v>
      </c>
      <c r="P170" s="14" t="s">
        <v>1586</v>
      </c>
      <c r="Q170" s="15">
        <v>1</v>
      </c>
      <c r="R170" s="14" t="s">
        <v>1586</v>
      </c>
    </row>
    <row r="171" spans="1:18" ht="14.25">
      <c r="A171" s="6">
        <v>168</v>
      </c>
      <c r="B171" s="7" t="s">
        <v>312</v>
      </c>
      <c r="C171" s="8">
        <v>122</v>
      </c>
      <c r="D171" s="8">
        <v>550</v>
      </c>
      <c r="E171" s="14" t="s">
        <v>1586</v>
      </c>
      <c r="F171" s="14" t="s">
        <v>1586</v>
      </c>
      <c r="G171" s="14" t="s">
        <v>1586</v>
      </c>
      <c r="H171" s="14" t="s">
        <v>1586</v>
      </c>
      <c r="I171" s="14" t="s">
        <v>1586</v>
      </c>
      <c r="J171" s="14" t="s">
        <v>1586</v>
      </c>
      <c r="K171" s="14" t="s">
        <v>1586</v>
      </c>
      <c r="L171" s="14" t="s">
        <v>1586</v>
      </c>
      <c r="M171" s="14" t="s">
        <v>1586</v>
      </c>
      <c r="N171" s="14" t="s">
        <v>1586</v>
      </c>
      <c r="O171" s="15">
        <v>2</v>
      </c>
      <c r="P171" s="14" t="s">
        <v>1586</v>
      </c>
      <c r="Q171" s="14" t="s">
        <v>1586</v>
      </c>
      <c r="R171" s="15">
        <v>1</v>
      </c>
    </row>
    <row r="172" spans="1:18" ht="14.25">
      <c r="A172" s="6">
        <v>169</v>
      </c>
      <c r="B172" s="7" t="s">
        <v>314</v>
      </c>
      <c r="C172" s="8">
        <v>550</v>
      </c>
      <c r="D172" s="8">
        <v>550</v>
      </c>
      <c r="E172" s="14" t="s">
        <v>1586</v>
      </c>
      <c r="F172" s="14" t="s">
        <v>1586</v>
      </c>
      <c r="G172" s="14" t="s">
        <v>1586</v>
      </c>
      <c r="H172" s="14" t="s">
        <v>1586</v>
      </c>
      <c r="I172" s="14" t="s">
        <v>1586</v>
      </c>
      <c r="J172" s="14" t="s">
        <v>1586</v>
      </c>
      <c r="K172" s="14" t="s">
        <v>1586</v>
      </c>
      <c r="L172" s="14" t="s">
        <v>1586</v>
      </c>
      <c r="M172" s="14" t="s">
        <v>1586</v>
      </c>
      <c r="N172" s="14" t="s">
        <v>1586</v>
      </c>
      <c r="O172" s="14" t="s">
        <v>1586</v>
      </c>
      <c r="P172" s="15">
        <v>1</v>
      </c>
      <c r="Q172" s="14" t="s">
        <v>1586</v>
      </c>
      <c r="R172" s="14" t="s">
        <v>1586</v>
      </c>
    </row>
    <row r="173" spans="1:18" ht="14.25">
      <c r="A173" s="6">
        <v>170</v>
      </c>
      <c r="B173" s="7" t="s">
        <v>315</v>
      </c>
      <c r="C173" s="8">
        <v>52</v>
      </c>
      <c r="D173" s="8">
        <v>550</v>
      </c>
      <c r="E173" s="14" t="s">
        <v>1586</v>
      </c>
      <c r="F173" s="14" t="s">
        <v>1586</v>
      </c>
      <c r="G173" s="14" t="s">
        <v>1586</v>
      </c>
      <c r="H173" s="14" t="s">
        <v>1586</v>
      </c>
      <c r="I173" s="14" t="s">
        <v>1586</v>
      </c>
      <c r="J173" s="14" t="s">
        <v>1586</v>
      </c>
      <c r="K173" s="14" t="s">
        <v>1586</v>
      </c>
      <c r="L173" s="14" t="s">
        <v>1586</v>
      </c>
      <c r="M173" s="14" t="s">
        <v>1586</v>
      </c>
      <c r="N173" s="14" t="s">
        <v>1586</v>
      </c>
      <c r="O173" s="14" t="s">
        <v>1586</v>
      </c>
      <c r="P173" s="15">
        <v>1</v>
      </c>
      <c r="Q173" s="15">
        <v>2</v>
      </c>
      <c r="R173" s="15">
        <v>2</v>
      </c>
    </row>
    <row r="174" spans="1:18" ht="14.25">
      <c r="A174" s="6">
        <v>171</v>
      </c>
      <c r="B174" s="7" t="s">
        <v>317</v>
      </c>
      <c r="C174" s="8">
        <v>550</v>
      </c>
      <c r="D174" s="8">
        <v>550</v>
      </c>
      <c r="E174" s="14" t="s">
        <v>1586</v>
      </c>
      <c r="F174" s="14" t="s">
        <v>1586</v>
      </c>
      <c r="G174" s="14" t="s">
        <v>1586</v>
      </c>
      <c r="H174" s="14" t="s">
        <v>1586</v>
      </c>
      <c r="I174" s="14" t="s">
        <v>1586</v>
      </c>
      <c r="J174" s="14" t="s">
        <v>1586</v>
      </c>
      <c r="K174" s="14" t="s">
        <v>1586</v>
      </c>
      <c r="L174" s="14" t="s">
        <v>1586</v>
      </c>
      <c r="M174" s="14" t="s">
        <v>1586</v>
      </c>
      <c r="N174" s="14" t="s">
        <v>1586</v>
      </c>
      <c r="O174" s="15">
        <v>1</v>
      </c>
      <c r="P174" s="14" t="s">
        <v>1586</v>
      </c>
      <c r="Q174" s="14" t="s">
        <v>1586</v>
      </c>
      <c r="R174" s="14" t="s">
        <v>1586</v>
      </c>
    </row>
    <row r="175" spans="1:18" ht="14.25">
      <c r="A175" s="6">
        <v>172</v>
      </c>
      <c r="B175" s="7" t="s">
        <v>318</v>
      </c>
      <c r="C175" s="8">
        <v>550</v>
      </c>
      <c r="D175" s="8">
        <v>550</v>
      </c>
      <c r="E175" s="14" t="s">
        <v>1586</v>
      </c>
      <c r="F175" s="14" t="s">
        <v>1586</v>
      </c>
      <c r="G175" s="14" t="s">
        <v>1586</v>
      </c>
      <c r="H175" s="14" t="s">
        <v>1586</v>
      </c>
      <c r="I175" s="14" t="s">
        <v>1586</v>
      </c>
      <c r="J175" s="14" t="s">
        <v>1586</v>
      </c>
      <c r="K175" s="14" t="s">
        <v>1586</v>
      </c>
      <c r="L175" s="14" t="s">
        <v>1586</v>
      </c>
      <c r="M175" s="14" t="s">
        <v>1586</v>
      </c>
      <c r="N175" s="14" t="s">
        <v>1586</v>
      </c>
      <c r="O175" s="14" t="s">
        <v>1586</v>
      </c>
      <c r="P175" s="14" t="s">
        <v>1586</v>
      </c>
      <c r="Q175" s="15">
        <v>1</v>
      </c>
      <c r="R175" s="14" t="s">
        <v>1586</v>
      </c>
    </row>
    <row r="176" spans="1:18" ht="14.25">
      <c r="A176" s="6">
        <v>173</v>
      </c>
      <c r="B176" s="7" t="s">
        <v>319</v>
      </c>
      <c r="C176" s="8">
        <v>146</v>
      </c>
      <c r="D176" s="8">
        <v>531</v>
      </c>
      <c r="E176" s="14" t="s">
        <v>1586</v>
      </c>
      <c r="F176" s="14" t="s">
        <v>1586</v>
      </c>
      <c r="G176" s="14" t="s">
        <v>1586</v>
      </c>
      <c r="H176" s="14" t="s">
        <v>1586</v>
      </c>
      <c r="I176" s="14" t="s">
        <v>1586</v>
      </c>
      <c r="J176" s="14" t="s">
        <v>1586</v>
      </c>
      <c r="K176" s="14" t="s">
        <v>1586</v>
      </c>
      <c r="L176" s="14" t="s">
        <v>1586</v>
      </c>
      <c r="M176" s="14" t="s">
        <v>1586</v>
      </c>
      <c r="N176" s="14" t="s">
        <v>1586</v>
      </c>
      <c r="O176" s="14" t="s">
        <v>1586</v>
      </c>
      <c r="P176" s="15">
        <v>1</v>
      </c>
      <c r="Q176" s="14" t="s">
        <v>1586</v>
      </c>
      <c r="R176" s="15">
        <v>1</v>
      </c>
    </row>
    <row r="177" spans="1:18" ht="14.25">
      <c r="A177" s="6">
        <v>174</v>
      </c>
      <c r="B177" s="7" t="s">
        <v>320</v>
      </c>
      <c r="C177" s="8">
        <v>530</v>
      </c>
      <c r="D177" s="8">
        <v>530</v>
      </c>
      <c r="E177" s="14" t="s">
        <v>1586</v>
      </c>
      <c r="F177" s="14" t="s">
        <v>1586</v>
      </c>
      <c r="G177" s="14" t="s">
        <v>1586</v>
      </c>
      <c r="H177" s="14" t="s">
        <v>1586</v>
      </c>
      <c r="I177" s="14" t="s">
        <v>1586</v>
      </c>
      <c r="J177" s="14" t="s">
        <v>1586</v>
      </c>
      <c r="K177" s="14" t="s">
        <v>1586</v>
      </c>
      <c r="L177" s="14" t="s">
        <v>1586</v>
      </c>
      <c r="M177" s="14" t="s">
        <v>1586</v>
      </c>
      <c r="N177" s="14" t="s">
        <v>1586</v>
      </c>
      <c r="O177" s="14" t="s">
        <v>1586</v>
      </c>
      <c r="P177" s="14" t="s">
        <v>1586</v>
      </c>
      <c r="Q177" s="14" t="s">
        <v>1586</v>
      </c>
      <c r="R177" s="15">
        <v>1</v>
      </c>
    </row>
    <row r="178" spans="1:18" ht="14.25">
      <c r="A178" s="6">
        <v>175</v>
      </c>
      <c r="B178" s="7" t="s">
        <v>321</v>
      </c>
      <c r="C178" s="8">
        <v>205.2</v>
      </c>
      <c r="D178" s="8">
        <v>530</v>
      </c>
      <c r="E178" s="14" t="s">
        <v>1586</v>
      </c>
      <c r="F178" s="14" t="s">
        <v>1586</v>
      </c>
      <c r="G178" s="14" t="s">
        <v>1586</v>
      </c>
      <c r="H178" s="14" t="s">
        <v>1586</v>
      </c>
      <c r="I178" s="14" t="s">
        <v>1586</v>
      </c>
      <c r="J178" s="14" t="s">
        <v>1586</v>
      </c>
      <c r="K178" s="14" t="s">
        <v>1586</v>
      </c>
      <c r="L178" s="15">
        <v>1</v>
      </c>
      <c r="M178" s="15">
        <v>1</v>
      </c>
      <c r="N178" s="14" t="s">
        <v>1586</v>
      </c>
      <c r="O178" s="14" t="s">
        <v>1586</v>
      </c>
      <c r="P178" s="15">
        <v>1</v>
      </c>
      <c r="Q178" s="14" t="s">
        <v>1586</v>
      </c>
      <c r="R178" s="14" t="s">
        <v>1586</v>
      </c>
    </row>
    <row r="179" spans="1:18" ht="14.25">
      <c r="A179" s="6">
        <v>176</v>
      </c>
      <c r="B179" s="7" t="s">
        <v>322</v>
      </c>
      <c r="C179" s="8">
        <v>530</v>
      </c>
      <c r="D179" s="8">
        <v>530</v>
      </c>
      <c r="E179" s="14" t="s">
        <v>1586</v>
      </c>
      <c r="F179" s="14" t="s">
        <v>1586</v>
      </c>
      <c r="G179" s="14" t="s">
        <v>1586</v>
      </c>
      <c r="H179" s="14" t="s">
        <v>1586</v>
      </c>
      <c r="I179" s="14" t="s">
        <v>1586</v>
      </c>
      <c r="J179" s="14" t="s">
        <v>1586</v>
      </c>
      <c r="K179" s="14" t="s">
        <v>1586</v>
      </c>
      <c r="L179" s="14" t="s">
        <v>1586</v>
      </c>
      <c r="M179" s="14" t="s">
        <v>1586</v>
      </c>
      <c r="N179" s="14" t="s">
        <v>1586</v>
      </c>
      <c r="O179" s="14" t="s">
        <v>1586</v>
      </c>
      <c r="P179" s="15">
        <v>1</v>
      </c>
      <c r="Q179" s="14" t="s">
        <v>1586</v>
      </c>
      <c r="R179" s="14" t="s">
        <v>1586</v>
      </c>
    </row>
    <row r="180" spans="1:18" ht="14.25">
      <c r="A180" s="6">
        <v>177</v>
      </c>
      <c r="B180" s="7" t="s">
        <v>323</v>
      </c>
      <c r="C180" s="8">
        <v>157.9</v>
      </c>
      <c r="D180" s="8">
        <v>527.5</v>
      </c>
      <c r="E180" s="14" t="s">
        <v>1586</v>
      </c>
      <c r="F180" s="14" t="s">
        <v>1586</v>
      </c>
      <c r="G180" s="14" t="s">
        <v>1586</v>
      </c>
      <c r="H180" s="14" t="s">
        <v>1586</v>
      </c>
      <c r="I180" s="14" t="s">
        <v>1586</v>
      </c>
      <c r="J180" s="15">
        <v>1</v>
      </c>
      <c r="K180" s="14" t="s">
        <v>1586</v>
      </c>
      <c r="L180" s="14" t="s">
        <v>1586</v>
      </c>
      <c r="M180" s="14" t="s">
        <v>1586</v>
      </c>
      <c r="N180" s="14" t="s">
        <v>1586</v>
      </c>
      <c r="O180" s="15">
        <v>1</v>
      </c>
      <c r="P180" s="15">
        <v>1</v>
      </c>
      <c r="Q180" s="14" t="s">
        <v>1586</v>
      </c>
      <c r="R180" s="14" t="s">
        <v>1586</v>
      </c>
    </row>
    <row r="181" spans="1:18" ht="14.25">
      <c r="A181" s="6">
        <v>178</v>
      </c>
      <c r="B181" s="7" t="s">
        <v>324</v>
      </c>
      <c r="C181" s="8">
        <v>523</v>
      </c>
      <c r="D181" s="8">
        <v>523</v>
      </c>
      <c r="E181" s="14" t="s">
        <v>1586</v>
      </c>
      <c r="F181" s="14" t="s">
        <v>1586</v>
      </c>
      <c r="G181" s="14" t="s">
        <v>1586</v>
      </c>
      <c r="H181" s="14" t="s">
        <v>1586</v>
      </c>
      <c r="I181" s="14" t="s">
        <v>1586</v>
      </c>
      <c r="J181" s="14" t="s">
        <v>1586</v>
      </c>
      <c r="K181" s="14" t="s">
        <v>1586</v>
      </c>
      <c r="L181" s="14" t="s">
        <v>1586</v>
      </c>
      <c r="M181" s="14" t="s">
        <v>1586</v>
      </c>
      <c r="N181" s="14" t="s">
        <v>1586</v>
      </c>
      <c r="O181" s="14" t="s">
        <v>1586</v>
      </c>
      <c r="P181" s="14" t="s">
        <v>1586</v>
      </c>
      <c r="Q181" s="14" t="s">
        <v>1586</v>
      </c>
      <c r="R181" s="15">
        <v>1</v>
      </c>
    </row>
    <row r="182" spans="1:18" ht="14.25">
      <c r="A182" s="6">
        <v>179</v>
      </c>
      <c r="B182" s="7" t="s">
        <v>325</v>
      </c>
      <c r="C182" s="8">
        <v>118.8</v>
      </c>
      <c r="D182" s="8">
        <v>521.1</v>
      </c>
      <c r="E182" s="14" t="s">
        <v>1586</v>
      </c>
      <c r="F182" s="14" t="s">
        <v>1586</v>
      </c>
      <c r="G182" s="14" t="s">
        <v>1586</v>
      </c>
      <c r="H182" s="14" t="s">
        <v>1586</v>
      </c>
      <c r="I182" s="14" t="s">
        <v>1586</v>
      </c>
      <c r="J182" s="14" t="s">
        <v>1586</v>
      </c>
      <c r="K182" s="14" t="s">
        <v>1586</v>
      </c>
      <c r="L182" s="14" t="s">
        <v>1586</v>
      </c>
      <c r="M182" s="14" t="s">
        <v>1586</v>
      </c>
      <c r="N182" s="15">
        <v>1</v>
      </c>
      <c r="O182" s="15">
        <v>1</v>
      </c>
      <c r="P182" s="14" t="s">
        <v>1586</v>
      </c>
      <c r="Q182" s="14" t="s">
        <v>1586</v>
      </c>
      <c r="R182" s="14" t="s">
        <v>1586</v>
      </c>
    </row>
    <row r="183" spans="1:18" ht="14.25">
      <c r="A183" s="6">
        <v>180</v>
      </c>
      <c r="B183" s="7" t="s">
        <v>326</v>
      </c>
      <c r="C183" s="8">
        <v>519.6</v>
      </c>
      <c r="D183" s="8">
        <v>519.6</v>
      </c>
      <c r="E183" s="14" t="s">
        <v>1586</v>
      </c>
      <c r="F183" s="14" t="s">
        <v>1586</v>
      </c>
      <c r="G183" s="14" t="s">
        <v>1586</v>
      </c>
      <c r="H183" s="14" t="s">
        <v>1586</v>
      </c>
      <c r="I183" s="14" t="s">
        <v>1586</v>
      </c>
      <c r="J183" s="14" t="s">
        <v>1586</v>
      </c>
      <c r="K183" s="14" t="s">
        <v>1586</v>
      </c>
      <c r="L183" s="14" t="s">
        <v>1586</v>
      </c>
      <c r="M183" s="14" t="s">
        <v>1586</v>
      </c>
      <c r="N183" s="14" t="s">
        <v>1586</v>
      </c>
      <c r="O183" s="15">
        <v>1</v>
      </c>
      <c r="P183" s="14" t="s">
        <v>1586</v>
      </c>
      <c r="Q183" s="14" t="s">
        <v>1586</v>
      </c>
      <c r="R183" s="14" t="s">
        <v>1586</v>
      </c>
    </row>
    <row r="184" spans="1:18" ht="14.25">
      <c r="A184" s="6">
        <v>181</v>
      </c>
      <c r="B184" s="7" t="s">
        <v>327</v>
      </c>
      <c r="C184" s="8">
        <v>501</v>
      </c>
      <c r="D184" s="8">
        <v>516</v>
      </c>
      <c r="E184" s="14" t="s">
        <v>1586</v>
      </c>
      <c r="F184" s="14" t="s">
        <v>1586</v>
      </c>
      <c r="G184" s="14" t="s">
        <v>1586</v>
      </c>
      <c r="H184" s="14" t="s">
        <v>1586</v>
      </c>
      <c r="I184" s="14" t="s">
        <v>1586</v>
      </c>
      <c r="J184" s="14" t="s">
        <v>1586</v>
      </c>
      <c r="K184" s="14" t="s">
        <v>1586</v>
      </c>
      <c r="L184" s="14" t="s">
        <v>1586</v>
      </c>
      <c r="M184" s="14" t="s">
        <v>1586</v>
      </c>
      <c r="N184" s="14" t="s">
        <v>1586</v>
      </c>
      <c r="O184" s="15">
        <v>1</v>
      </c>
      <c r="P184" s="15">
        <v>1</v>
      </c>
      <c r="Q184" s="14" t="s">
        <v>1586</v>
      </c>
      <c r="R184" s="14" t="s">
        <v>1586</v>
      </c>
    </row>
    <row r="185" spans="1:18" ht="14.25">
      <c r="A185" s="6">
        <v>182</v>
      </c>
      <c r="B185" s="7" t="s">
        <v>329</v>
      </c>
      <c r="C185" s="8">
        <v>515</v>
      </c>
      <c r="D185" s="8">
        <v>515</v>
      </c>
      <c r="E185" s="14" t="s">
        <v>1586</v>
      </c>
      <c r="F185" s="14" t="s">
        <v>1586</v>
      </c>
      <c r="G185" s="14" t="s">
        <v>1586</v>
      </c>
      <c r="H185" s="14" t="s">
        <v>1586</v>
      </c>
      <c r="I185" s="14" t="s">
        <v>1586</v>
      </c>
      <c r="J185" s="14" t="s">
        <v>1586</v>
      </c>
      <c r="K185" s="14" t="s">
        <v>1586</v>
      </c>
      <c r="L185" s="14" t="s">
        <v>1586</v>
      </c>
      <c r="M185" s="14" t="s">
        <v>1586</v>
      </c>
      <c r="N185" s="14" t="s">
        <v>1586</v>
      </c>
      <c r="O185" s="15">
        <v>1</v>
      </c>
      <c r="P185" s="14" t="s">
        <v>1586</v>
      </c>
      <c r="Q185" s="14" t="s">
        <v>1586</v>
      </c>
      <c r="R185" s="14" t="s">
        <v>1586</v>
      </c>
    </row>
    <row r="186" spans="1:18" ht="14.25">
      <c r="A186" s="6">
        <v>183</v>
      </c>
      <c r="B186" s="7" t="s">
        <v>331</v>
      </c>
      <c r="C186" s="8">
        <v>30.3</v>
      </c>
      <c r="D186" s="8">
        <v>515</v>
      </c>
      <c r="E186" s="14" t="s">
        <v>1586</v>
      </c>
      <c r="F186" s="14" t="s">
        <v>1586</v>
      </c>
      <c r="G186" s="14" t="s">
        <v>1586</v>
      </c>
      <c r="H186" s="14" t="s">
        <v>1586</v>
      </c>
      <c r="I186" s="14" t="s">
        <v>1586</v>
      </c>
      <c r="J186" s="14" t="s">
        <v>1586</v>
      </c>
      <c r="K186" s="14" t="s">
        <v>1586</v>
      </c>
      <c r="L186" s="14" t="s">
        <v>1586</v>
      </c>
      <c r="M186" s="15">
        <v>1</v>
      </c>
      <c r="N186" s="14" t="s">
        <v>1586</v>
      </c>
      <c r="O186" s="15">
        <v>1</v>
      </c>
      <c r="P186" s="15">
        <v>2</v>
      </c>
      <c r="Q186" s="14" t="s">
        <v>1586</v>
      </c>
      <c r="R186" s="14" t="s">
        <v>1586</v>
      </c>
    </row>
    <row r="187" spans="1:18" ht="14.25">
      <c r="A187" s="6">
        <v>184</v>
      </c>
      <c r="B187" s="7" t="s">
        <v>332</v>
      </c>
      <c r="C187" s="8">
        <v>94</v>
      </c>
      <c r="D187" s="8">
        <v>513</v>
      </c>
      <c r="E187" s="14" t="s">
        <v>1586</v>
      </c>
      <c r="F187" s="14" t="s">
        <v>1586</v>
      </c>
      <c r="G187" s="14" t="s">
        <v>1586</v>
      </c>
      <c r="H187" s="14" t="s">
        <v>1586</v>
      </c>
      <c r="I187" s="14" t="s">
        <v>1586</v>
      </c>
      <c r="J187" s="14" t="s">
        <v>1586</v>
      </c>
      <c r="K187" s="14" t="s">
        <v>1586</v>
      </c>
      <c r="L187" s="14" t="s">
        <v>1586</v>
      </c>
      <c r="M187" s="14" t="s">
        <v>1586</v>
      </c>
      <c r="N187" s="14" t="s">
        <v>1586</v>
      </c>
      <c r="O187" s="14" t="s">
        <v>1586</v>
      </c>
      <c r="P187" s="14" t="s">
        <v>1586</v>
      </c>
      <c r="Q187" s="15">
        <v>1</v>
      </c>
      <c r="R187" s="15">
        <v>1</v>
      </c>
    </row>
    <row r="188" spans="1:18" ht="14.25">
      <c r="A188" s="6">
        <v>185</v>
      </c>
      <c r="B188" s="7" t="s">
        <v>333</v>
      </c>
      <c r="C188" s="8">
        <v>513</v>
      </c>
      <c r="D188" s="8">
        <v>513</v>
      </c>
      <c r="E188" s="14" t="s">
        <v>1586</v>
      </c>
      <c r="F188" s="14" t="s">
        <v>1586</v>
      </c>
      <c r="G188" s="14" t="s">
        <v>1586</v>
      </c>
      <c r="H188" s="14" t="s">
        <v>1586</v>
      </c>
      <c r="I188" s="14" t="s">
        <v>1586</v>
      </c>
      <c r="J188" s="14" t="s">
        <v>1586</v>
      </c>
      <c r="K188" s="14" t="s">
        <v>1586</v>
      </c>
      <c r="L188" s="14" t="s">
        <v>1586</v>
      </c>
      <c r="M188" s="14" t="s">
        <v>1586</v>
      </c>
      <c r="N188" s="14" t="s">
        <v>1586</v>
      </c>
      <c r="O188" s="14" t="s">
        <v>1586</v>
      </c>
      <c r="P188" s="14" t="s">
        <v>1586</v>
      </c>
      <c r="Q188" s="15">
        <v>1</v>
      </c>
      <c r="R188" s="14" t="s">
        <v>1586</v>
      </c>
    </row>
    <row r="189" spans="1:18" ht="14.25">
      <c r="A189" s="6">
        <v>186</v>
      </c>
      <c r="B189" s="7" t="s">
        <v>334</v>
      </c>
      <c r="C189" s="8">
        <v>44</v>
      </c>
      <c r="D189" s="8">
        <v>505.3</v>
      </c>
      <c r="E189" s="14" t="s">
        <v>1586</v>
      </c>
      <c r="F189" s="14" t="s">
        <v>1586</v>
      </c>
      <c r="G189" s="14" t="s">
        <v>1586</v>
      </c>
      <c r="H189" s="14" t="s">
        <v>1586</v>
      </c>
      <c r="I189" s="14" t="s">
        <v>1586</v>
      </c>
      <c r="J189" s="14" t="s">
        <v>1586</v>
      </c>
      <c r="K189" s="14" t="s">
        <v>1586</v>
      </c>
      <c r="L189" s="14" t="s">
        <v>1586</v>
      </c>
      <c r="M189" s="14" t="s">
        <v>1586</v>
      </c>
      <c r="N189" s="14" t="s">
        <v>1586</v>
      </c>
      <c r="O189" s="14" t="s">
        <v>1586</v>
      </c>
      <c r="P189" s="15">
        <v>2</v>
      </c>
      <c r="Q189" s="15">
        <v>1</v>
      </c>
      <c r="R189" s="14" t="s">
        <v>1586</v>
      </c>
    </row>
    <row r="190" spans="1:18" ht="14.25">
      <c r="A190" s="6">
        <v>187</v>
      </c>
      <c r="B190" s="7" t="s">
        <v>335</v>
      </c>
      <c r="C190" s="8">
        <v>120.1</v>
      </c>
      <c r="D190" s="8">
        <v>501</v>
      </c>
      <c r="E190" s="14" t="s">
        <v>1586</v>
      </c>
      <c r="F190" s="14" t="s">
        <v>1586</v>
      </c>
      <c r="G190" s="14" t="s">
        <v>1586</v>
      </c>
      <c r="H190" s="14" t="s">
        <v>1586</v>
      </c>
      <c r="I190" s="14" t="s">
        <v>1586</v>
      </c>
      <c r="J190" s="14" t="s">
        <v>1586</v>
      </c>
      <c r="K190" s="14" t="s">
        <v>1586</v>
      </c>
      <c r="L190" s="14" t="s">
        <v>1586</v>
      </c>
      <c r="M190" s="14" t="s">
        <v>1586</v>
      </c>
      <c r="N190" s="14" t="s">
        <v>1586</v>
      </c>
      <c r="O190" s="14" t="s">
        <v>1586</v>
      </c>
      <c r="P190" s="15">
        <v>1</v>
      </c>
      <c r="Q190" s="15">
        <v>1</v>
      </c>
      <c r="R190" s="14" t="s">
        <v>1586</v>
      </c>
    </row>
    <row r="191" spans="1:18" ht="14.25">
      <c r="A191" s="6">
        <v>188</v>
      </c>
      <c r="B191" s="7" t="s">
        <v>336</v>
      </c>
      <c r="C191" s="8">
        <v>76</v>
      </c>
      <c r="D191" s="8">
        <v>500.5</v>
      </c>
      <c r="E191" s="14" t="s">
        <v>1586</v>
      </c>
      <c r="F191" s="14" t="s">
        <v>1586</v>
      </c>
      <c r="G191" s="14" t="s">
        <v>1586</v>
      </c>
      <c r="H191" s="14" t="s">
        <v>1586</v>
      </c>
      <c r="I191" s="14" t="s">
        <v>1586</v>
      </c>
      <c r="J191" s="14" t="s">
        <v>1586</v>
      </c>
      <c r="K191" s="14" t="s">
        <v>1586</v>
      </c>
      <c r="L191" s="14" t="s">
        <v>1586</v>
      </c>
      <c r="M191" s="14" t="s">
        <v>1586</v>
      </c>
      <c r="N191" s="14" t="s">
        <v>1586</v>
      </c>
      <c r="O191" s="15">
        <v>2</v>
      </c>
      <c r="P191" s="14" t="s">
        <v>1586</v>
      </c>
      <c r="Q191" s="15">
        <v>1</v>
      </c>
      <c r="R191" s="14" t="s">
        <v>1586</v>
      </c>
    </row>
    <row r="192" spans="1:18" ht="14.25">
      <c r="A192" s="6">
        <v>189</v>
      </c>
      <c r="B192" s="7" t="s">
        <v>338</v>
      </c>
      <c r="C192" s="8">
        <v>156</v>
      </c>
      <c r="D192" s="8">
        <v>500</v>
      </c>
      <c r="E192" s="14" t="s">
        <v>1586</v>
      </c>
      <c r="F192" s="14" t="s">
        <v>1586</v>
      </c>
      <c r="G192" s="14" t="s">
        <v>1586</v>
      </c>
      <c r="H192" s="14" t="s">
        <v>1586</v>
      </c>
      <c r="I192" s="14" t="s">
        <v>1586</v>
      </c>
      <c r="J192" s="14" t="s">
        <v>1586</v>
      </c>
      <c r="K192" s="14" t="s">
        <v>1586</v>
      </c>
      <c r="L192" s="15">
        <v>1</v>
      </c>
      <c r="M192" s="14" t="s">
        <v>1586</v>
      </c>
      <c r="N192" s="14" t="s">
        <v>1586</v>
      </c>
      <c r="O192" s="15">
        <v>1</v>
      </c>
      <c r="P192" s="14" t="s">
        <v>1586</v>
      </c>
      <c r="Q192" s="14" t="s">
        <v>1586</v>
      </c>
      <c r="R192" s="15">
        <v>3</v>
      </c>
    </row>
    <row r="193" spans="1:18" ht="14.25">
      <c r="A193" s="6">
        <v>190</v>
      </c>
      <c r="B193" s="7" t="s">
        <v>339</v>
      </c>
      <c r="C193" s="8">
        <v>428.6</v>
      </c>
      <c r="D193" s="8">
        <v>500</v>
      </c>
      <c r="E193" s="14" t="s">
        <v>1586</v>
      </c>
      <c r="F193" s="14" t="s">
        <v>1586</v>
      </c>
      <c r="G193" s="14" t="s">
        <v>1586</v>
      </c>
      <c r="H193" s="14" t="s">
        <v>1586</v>
      </c>
      <c r="I193" s="14" t="s">
        <v>1586</v>
      </c>
      <c r="J193" s="14" t="s">
        <v>1586</v>
      </c>
      <c r="K193" s="14" t="s">
        <v>1586</v>
      </c>
      <c r="L193" s="14" t="s">
        <v>1586</v>
      </c>
      <c r="M193" s="15">
        <v>1</v>
      </c>
      <c r="N193" s="14" t="s">
        <v>1586</v>
      </c>
      <c r="O193" s="14" t="s">
        <v>1586</v>
      </c>
      <c r="P193" s="15">
        <v>1</v>
      </c>
      <c r="Q193" s="14" t="s">
        <v>1586</v>
      </c>
      <c r="R193" s="14" t="s">
        <v>1586</v>
      </c>
    </row>
    <row r="194" spans="1:18" ht="14.25">
      <c r="A194" s="6">
        <v>191</v>
      </c>
      <c r="B194" s="7" t="s">
        <v>340</v>
      </c>
      <c r="C194" s="8">
        <v>63</v>
      </c>
      <c r="D194" s="8">
        <v>500</v>
      </c>
      <c r="E194" s="14" t="s">
        <v>1586</v>
      </c>
      <c r="F194" s="14" t="s">
        <v>1586</v>
      </c>
      <c r="G194" s="14" t="s">
        <v>1586</v>
      </c>
      <c r="H194" s="14" t="s">
        <v>1586</v>
      </c>
      <c r="I194" s="14" t="s">
        <v>1586</v>
      </c>
      <c r="J194" s="14" t="s">
        <v>1586</v>
      </c>
      <c r="K194" s="14" t="s">
        <v>1586</v>
      </c>
      <c r="L194" s="14" t="s">
        <v>1586</v>
      </c>
      <c r="M194" s="14" t="s">
        <v>1586</v>
      </c>
      <c r="N194" s="14" t="s">
        <v>1586</v>
      </c>
      <c r="O194" s="15">
        <v>2</v>
      </c>
      <c r="P194" s="15">
        <v>1</v>
      </c>
      <c r="Q194" s="14" t="s">
        <v>1586</v>
      </c>
      <c r="R194" s="15">
        <v>2</v>
      </c>
    </row>
    <row r="195" spans="1:18" ht="14.25">
      <c r="A195" s="6">
        <v>192</v>
      </c>
      <c r="B195" s="7" t="s">
        <v>341</v>
      </c>
      <c r="C195" s="8">
        <v>207</v>
      </c>
      <c r="D195" s="8">
        <v>500</v>
      </c>
      <c r="E195" s="14" t="s">
        <v>1586</v>
      </c>
      <c r="F195" s="14" t="s">
        <v>1586</v>
      </c>
      <c r="G195" s="14" t="s">
        <v>1586</v>
      </c>
      <c r="H195" s="14" t="s">
        <v>1586</v>
      </c>
      <c r="I195" s="14" t="s">
        <v>1586</v>
      </c>
      <c r="J195" s="14" t="s">
        <v>1586</v>
      </c>
      <c r="K195" s="14" t="s">
        <v>1586</v>
      </c>
      <c r="L195" s="14" t="s">
        <v>1586</v>
      </c>
      <c r="M195" s="14" t="s">
        <v>1586</v>
      </c>
      <c r="N195" s="15">
        <v>1</v>
      </c>
      <c r="O195" s="15">
        <v>1</v>
      </c>
      <c r="P195" s="14" t="s">
        <v>1586</v>
      </c>
      <c r="Q195" s="14" t="s">
        <v>1586</v>
      </c>
      <c r="R195" s="14" t="s">
        <v>1586</v>
      </c>
    </row>
    <row r="196" spans="1:18" ht="14.25">
      <c r="A196" s="6">
        <v>193</v>
      </c>
      <c r="B196" s="7" t="s">
        <v>342</v>
      </c>
      <c r="C196" s="8">
        <v>109.5</v>
      </c>
      <c r="D196" s="8">
        <v>500</v>
      </c>
      <c r="E196" s="14" t="s">
        <v>1586</v>
      </c>
      <c r="F196" s="14" t="s">
        <v>1586</v>
      </c>
      <c r="G196" s="14" t="s">
        <v>1586</v>
      </c>
      <c r="H196" s="14" t="s">
        <v>1586</v>
      </c>
      <c r="I196" s="14" t="s">
        <v>1586</v>
      </c>
      <c r="J196" s="14" t="s">
        <v>1586</v>
      </c>
      <c r="K196" s="14" t="s">
        <v>1586</v>
      </c>
      <c r="L196" s="14" t="s">
        <v>1586</v>
      </c>
      <c r="M196" s="14" t="s">
        <v>1586</v>
      </c>
      <c r="N196" s="15">
        <v>1</v>
      </c>
      <c r="O196" s="15">
        <v>1</v>
      </c>
      <c r="P196" s="15">
        <v>1</v>
      </c>
      <c r="Q196" s="15">
        <v>1</v>
      </c>
      <c r="R196" s="14" t="s">
        <v>1586</v>
      </c>
    </row>
    <row r="197" spans="1:18" ht="14.25">
      <c r="A197" s="6">
        <v>194</v>
      </c>
      <c r="B197" s="7" t="s">
        <v>343</v>
      </c>
      <c r="C197" s="8">
        <v>476</v>
      </c>
      <c r="D197" s="8">
        <v>476</v>
      </c>
      <c r="E197" s="14" t="s">
        <v>1586</v>
      </c>
      <c r="F197" s="14" t="s">
        <v>1586</v>
      </c>
      <c r="G197" s="14" t="s">
        <v>1586</v>
      </c>
      <c r="H197" s="14" t="s">
        <v>1586</v>
      </c>
      <c r="I197" s="14" t="s">
        <v>1586</v>
      </c>
      <c r="J197" s="14" t="s">
        <v>1586</v>
      </c>
      <c r="K197" s="14" t="s">
        <v>1586</v>
      </c>
      <c r="L197" s="14" t="s">
        <v>1586</v>
      </c>
      <c r="M197" s="14" t="s">
        <v>1586</v>
      </c>
      <c r="N197" s="14" t="s">
        <v>1586</v>
      </c>
      <c r="O197" s="14" t="s">
        <v>1586</v>
      </c>
      <c r="P197" s="15">
        <v>1</v>
      </c>
      <c r="Q197" s="14" t="s">
        <v>1586</v>
      </c>
      <c r="R197" s="14" t="s">
        <v>1586</v>
      </c>
    </row>
    <row r="198" spans="1:18" ht="14.25">
      <c r="A198" s="6">
        <v>195</v>
      </c>
      <c r="B198" s="7" t="s">
        <v>344</v>
      </c>
      <c r="C198" s="8">
        <v>322</v>
      </c>
      <c r="D198" s="8">
        <v>466</v>
      </c>
      <c r="E198" s="14" t="s">
        <v>1586</v>
      </c>
      <c r="F198" s="14" t="s">
        <v>1586</v>
      </c>
      <c r="G198" s="14" t="s">
        <v>1586</v>
      </c>
      <c r="H198" s="14" t="s">
        <v>1586</v>
      </c>
      <c r="I198" s="14" t="s">
        <v>1586</v>
      </c>
      <c r="J198" s="14" t="s">
        <v>1586</v>
      </c>
      <c r="K198" s="14" t="s">
        <v>1586</v>
      </c>
      <c r="L198" s="14" t="s">
        <v>1586</v>
      </c>
      <c r="M198" s="14" t="s">
        <v>1586</v>
      </c>
      <c r="N198" s="15">
        <v>1</v>
      </c>
      <c r="O198" s="14" t="s">
        <v>1586</v>
      </c>
      <c r="P198" s="15">
        <v>1</v>
      </c>
      <c r="Q198" s="14" t="s">
        <v>1586</v>
      </c>
      <c r="R198" s="15">
        <v>1</v>
      </c>
    </row>
    <row r="199" spans="1:18" ht="14.25">
      <c r="A199" s="6">
        <v>196</v>
      </c>
      <c r="B199" s="7" t="s">
        <v>345</v>
      </c>
      <c r="C199" s="8">
        <v>460</v>
      </c>
      <c r="D199" s="8">
        <v>460</v>
      </c>
      <c r="E199" s="14" t="s">
        <v>1586</v>
      </c>
      <c r="F199" s="14" t="s">
        <v>1586</v>
      </c>
      <c r="G199" s="14" t="s">
        <v>1586</v>
      </c>
      <c r="H199" s="14" t="s">
        <v>1586</v>
      </c>
      <c r="I199" s="14" t="s">
        <v>1586</v>
      </c>
      <c r="J199" s="14" t="s">
        <v>1586</v>
      </c>
      <c r="K199" s="14" t="s">
        <v>1586</v>
      </c>
      <c r="L199" s="14" t="s">
        <v>1586</v>
      </c>
      <c r="M199" s="14" t="s">
        <v>1586</v>
      </c>
      <c r="N199" s="14" t="s">
        <v>1586</v>
      </c>
      <c r="O199" s="14" t="s">
        <v>1586</v>
      </c>
      <c r="P199" s="15">
        <v>1</v>
      </c>
      <c r="Q199" s="14" t="s">
        <v>1586</v>
      </c>
      <c r="R199" s="14" t="s">
        <v>1586</v>
      </c>
    </row>
    <row r="200" spans="1:18" ht="14.25">
      <c r="A200" s="6">
        <v>197</v>
      </c>
      <c r="B200" s="7" t="s">
        <v>346</v>
      </c>
      <c r="C200" s="8">
        <v>185</v>
      </c>
      <c r="D200" s="8">
        <v>455</v>
      </c>
      <c r="E200" s="14" t="s">
        <v>1586</v>
      </c>
      <c r="F200" s="14" t="s">
        <v>1586</v>
      </c>
      <c r="G200" s="14" t="s">
        <v>1586</v>
      </c>
      <c r="H200" s="14" t="s">
        <v>1586</v>
      </c>
      <c r="I200" s="14" t="s">
        <v>1586</v>
      </c>
      <c r="J200" s="14" t="s">
        <v>1586</v>
      </c>
      <c r="K200" s="14" t="s">
        <v>1586</v>
      </c>
      <c r="L200" s="14" t="s">
        <v>1586</v>
      </c>
      <c r="M200" s="15">
        <v>1</v>
      </c>
      <c r="N200" s="14" t="s">
        <v>1586</v>
      </c>
      <c r="O200" s="15">
        <v>1</v>
      </c>
      <c r="P200" s="14" t="s">
        <v>1586</v>
      </c>
      <c r="Q200" s="14" t="s">
        <v>1586</v>
      </c>
      <c r="R200" s="14" t="s">
        <v>1586</v>
      </c>
    </row>
    <row r="201" spans="1:18" ht="14.25">
      <c r="A201" s="6">
        <v>198</v>
      </c>
      <c r="B201" s="7" t="s">
        <v>347</v>
      </c>
      <c r="C201" s="8">
        <v>41.5</v>
      </c>
      <c r="D201" s="8">
        <v>441</v>
      </c>
      <c r="E201" s="14" t="s">
        <v>1586</v>
      </c>
      <c r="F201" s="14" t="s">
        <v>1586</v>
      </c>
      <c r="G201" s="14" t="s">
        <v>1586</v>
      </c>
      <c r="H201" s="14" t="s">
        <v>1586</v>
      </c>
      <c r="I201" s="14" t="s">
        <v>1586</v>
      </c>
      <c r="J201" s="14" t="s">
        <v>1586</v>
      </c>
      <c r="K201" s="14" t="s">
        <v>1586</v>
      </c>
      <c r="L201" s="14" t="s">
        <v>1586</v>
      </c>
      <c r="M201" s="14" t="s">
        <v>1586</v>
      </c>
      <c r="N201" s="15">
        <v>1</v>
      </c>
      <c r="O201" s="15">
        <v>2</v>
      </c>
      <c r="P201" s="14" t="s">
        <v>1586</v>
      </c>
      <c r="Q201" s="14" t="s">
        <v>1586</v>
      </c>
      <c r="R201" s="14" t="s">
        <v>1586</v>
      </c>
    </row>
    <row r="202" spans="1:18" ht="14.25">
      <c r="A202" s="6">
        <v>199</v>
      </c>
      <c r="B202" s="7" t="s">
        <v>348</v>
      </c>
      <c r="C202" s="8">
        <v>50.5</v>
      </c>
      <c r="D202" s="8">
        <v>430</v>
      </c>
      <c r="E202" s="14" t="s">
        <v>1586</v>
      </c>
      <c r="F202" s="14" t="s">
        <v>1586</v>
      </c>
      <c r="G202" s="14" t="s">
        <v>1586</v>
      </c>
      <c r="H202" s="14" t="s">
        <v>1586</v>
      </c>
      <c r="I202" s="14" t="s">
        <v>1586</v>
      </c>
      <c r="J202" s="14" t="s">
        <v>1586</v>
      </c>
      <c r="K202" s="14" t="s">
        <v>1586</v>
      </c>
      <c r="L202" s="15">
        <v>1</v>
      </c>
      <c r="M202" s="14" t="s">
        <v>1586</v>
      </c>
      <c r="N202" s="15">
        <v>1</v>
      </c>
      <c r="O202" s="14" t="s">
        <v>1586</v>
      </c>
      <c r="P202" s="14" t="s">
        <v>1586</v>
      </c>
      <c r="Q202" s="14" t="s">
        <v>1586</v>
      </c>
      <c r="R202" s="15">
        <v>1</v>
      </c>
    </row>
    <row r="203" spans="1:18" ht="14.25">
      <c r="A203" s="6">
        <v>200</v>
      </c>
      <c r="B203" s="7" t="s">
        <v>349</v>
      </c>
      <c r="C203" s="8">
        <v>50.5</v>
      </c>
      <c r="D203" s="8">
        <v>410</v>
      </c>
      <c r="E203" s="14" t="s">
        <v>1586</v>
      </c>
      <c r="F203" s="14" t="s">
        <v>1586</v>
      </c>
      <c r="G203" s="14" t="s">
        <v>1586</v>
      </c>
      <c r="H203" s="14" t="s">
        <v>1586</v>
      </c>
      <c r="I203" s="14" t="s">
        <v>1586</v>
      </c>
      <c r="J203" s="14" t="s">
        <v>1586</v>
      </c>
      <c r="K203" s="14" t="s">
        <v>1586</v>
      </c>
      <c r="L203" s="14" t="s">
        <v>1586</v>
      </c>
      <c r="M203" s="15">
        <v>1</v>
      </c>
      <c r="N203" s="14" t="s">
        <v>1586</v>
      </c>
      <c r="O203" s="15">
        <v>2</v>
      </c>
      <c r="P203" s="14" t="s">
        <v>1586</v>
      </c>
      <c r="Q203" s="15">
        <v>1</v>
      </c>
      <c r="R203" s="14" t="s">
        <v>1586</v>
      </c>
    </row>
    <row r="204" spans="1:18" ht="14.25">
      <c r="A204" s="6">
        <v>201</v>
      </c>
      <c r="B204" s="7" t="s">
        <v>350</v>
      </c>
      <c r="C204" s="8">
        <v>410</v>
      </c>
      <c r="D204" s="8">
        <v>410</v>
      </c>
      <c r="E204" s="14" t="s">
        <v>1586</v>
      </c>
      <c r="F204" s="14" t="s">
        <v>1586</v>
      </c>
      <c r="G204" s="14" t="s">
        <v>1586</v>
      </c>
      <c r="H204" s="14" t="s">
        <v>1586</v>
      </c>
      <c r="I204" s="14" t="s">
        <v>1586</v>
      </c>
      <c r="J204" s="14" t="s">
        <v>1586</v>
      </c>
      <c r="K204" s="14" t="s">
        <v>1586</v>
      </c>
      <c r="L204" s="14" t="s">
        <v>1586</v>
      </c>
      <c r="M204" s="14" t="s">
        <v>1586</v>
      </c>
      <c r="N204" s="14" t="s">
        <v>1586</v>
      </c>
      <c r="O204" s="14" t="s">
        <v>1586</v>
      </c>
      <c r="P204" s="15">
        <v>1</v>
      </c>
      <c r="Q204" s="14" t="s">
        <v>1586</v>
      </c>
      <c r="R204" s="14" t="s">
        <v>1586</v>
      </c>
    </row>
    <row r="205" spans="1:18" ht="14.25">
      <c r="A205" s="6">
        <v>202</v>
      </c>
      <c r="B205" s="7" t="s">
        <v>351</v>
      </c>
      <c r="C205" s="8">
        <v>31.5</v>
      </c>
      <c r="D205" s="8">
        <v>371.7</v>
      </c>
      <c r="E205" s="14" t="s">
        <v>1586</v>
      </c>
      <c r="F205" s="14" t="s">
        <v>1586</v>
      </c>
      <c r="G205" s="14" t="s">
        <v>1586</v>
      </c>
      <c r="H205" s="14" t="s">
        <v>1586</v>
      </c>
      <c r="I205" s="14" t="s">
        <v>1586</v>
      </c>
      <c r="J205" s="14" t="s">
        <v>1586</v>
      </c>
      <c r="K205" s="14" t="s">
        <v>1586</v>
      </c>
      <c r="L205" s="14" t="s">
        <v>1586</v>
      </c>
      <c r="M205" s="14" t="s">
        <v>1586</v>
      </c>
      <c r="N205" s="14" t="s">
        <v>1586</v>
      </c>
      <c r="O205" s="14" t="s">
        <v>1586</v>
      </c>
      <c r="P205" s="14" t="s">
        <v>1586</v>
      </c>
      <c r="Q205" s="15">
        <v>2</v>
      </c>
      <c r="R205" s="15">
        <v>2</v>
      </c>
    </row>
    <row r="206" spans="1:18" ht="14.25">
      <c r="A206" s="6">
        <v>203</v>
      </c>
      <c r="B206" s="7" t="s">
        <v>352</v>
      </c>
      <c r="C206" s="8">
        <v>10.1</v>
      </c>
      <c r="D206" s="8">
        <v>371</v>
      </c>
      <c r="E206" s="14" t="s">
        <v>1586</v>
      </c>
      <c r="F206" s="14" t="s">
        <v>1586</v>
      </c>
      <c r="G206" s="14" t="s">
        <v>1586</v>
      </c>
      <c r="H206" s="14" t="s">
        <v>1586</v>
      </c>
      <c r="I206" s="14" t="s">
        <v>1586</v>
      </c>
      <c r="J206" s="14" t="s">
        <v>1586</v>
      </c>
      <c r="K206" s="14" t="s">
        <v>1586</v>
      </c>
      <c r="L206" s="14" t="s">
        <v>1586</v>
      </c>
      <c r="M206" s="14" t="s">
        <v>1586</v>
      </c>
      <c r="N206" s="15">
        <v>1</v>
      </c>
      <c r="O206" s="15">
        <v>4</v>
      </c>
      <c r="P206" s="14" t="s">
        <v>1586</v>
      </c>
      <c r="Q206" s="14" t="s">
        <v>1586</v>
      </c>
      <c r="R206" s="14" t="s">
        <v>1586</v>
      </c>
    </row>
    <row r="207" spans="1:18" ht="14.25">
      <c r="A207" s="6">
        <v>204</v>
      </c>
      <c r="B207" s="7" t="s">
        <v>353</v>
      </c>
      <c r="C207" s="8">
        <v>168.3</v>
      </c>
      <c r="D207" s="8">
        <v>370</v>
      </c>
      <c r="E207" s="14" t="s">
        <v>1586</v>
      </c>
      <c r="F207" s="14" t="s">
        <v>1586</v>
      </c>
      <c r="G207" s="14" t="s">
        <v>1586</v>
      </c>
      <c r="H207" s="14" t="s">
        <v>1586</v>
      </c>
      <c r="I207" s="14" t="s">
        <v>1586</v>
      </c>
      <c r="J207" s="14" t="s">
        <v>1586</v>
      </c>
      <c r="K207" s="14" t="s">
        <v>1586</v>
      </c>
      <c r="L207" s="14" t="s">
        <v>1586</v>
      </c>
      <c r="M207" s="14" t="s">
        <v>1586</v>
      </c>
      <c r="N207" s="14" t="s">
        <v>1586</v>
      </c>
      <c r="O207" s="15">
        <v>1</v>
      </c>
      <c r="P207" s="15">
        <v>1</v>
      </c>
      <c r="Q207" s="14" t="s">
        <v>1586</v>
      </c>
      <c r="R207" s="14" t="s">
        <v>1586</v>
      </c>
    </row>
    <row r="208" spans="1:18" ht="14.25">
      <c r="A208" s="6">
        <v>205</v>
      </c>
      <c r="B208" s="7" t="s">
        <v>355</v>
      </c>
      <c r="C208" s="8">
        <v>357</v>
      </c>
      <c r="D208" s="8">
        <v>357</v>
      </c>
      <c r="E208" s="14" t="s">
        <v>1586</v>
      </c>
      <c r="F208" s="14" t="s">
        <v>1586</v>
      </c>
      <c r="G208" s="14" t="s">
        <v>1586</v>
      </c>
      <c r="H208" s="14" t="s">
        <v>1586</v>
      </c>
      <c r="I208" s="14" t="s">
        <v>1586</v>
      </c>
      <c r="J208" s="14" t="s">
        <v>1586</v>
      </c>
      <c r="K208" s="14" t="s">
        <v>1586</v>
      </c>
      <c r="L208" s="14" t="s">
        <v>1586</v>
      </c>
      <c r="M208" s="14" t="s">
        <v>1586</v>
      </c>
      <c r="N208" s="14" t="s">
        <v>1586</v>
      </c>
      <c r="O208" s="14" t="s">
        <v>1586</v>
      </c>
      <c r="P208" s="14" t="s">
        <v>1586</v>
      </c>
      <c r="Q208" s="15">
        <v>1</v>
      </c>
      <c r="R208" s="14" t="s">
        <v>1586</v>
      </c>
    </row>
    <row r="209" spans="1:18" ht="14.25">
      <c r="A209" s="6">
        <v>206</v>
      </c>
      <c r="B209" s="7" t="s">
        <v>356</v>
      </c>
      <c r="C209" s="8">
        <v>351</v>
      </c>
      <c r="D209" s="8">
        <v>351</v>
      </c>
      <c r="E209" s="14" t="s">
        <v>1586</v>
      </c>
      <c r="F209" s="14" t="s">
        <v>1586</v>
      </c>
      <c r="G209" s="14" t="s">
        <v>1586</v>
      </c>
      <c r="H209" s="14" t="s">
        <v>1586</v>
      </c>
      <c r="I209" s="14" t="s">
        <v>1586</v>
      </c>
      <c r="J209" s="14" t="s">
        <v>1586</v>
      </c>
      <c r="K209" s="14" t="s">
        <v>1586</v>
      </c>
      <c r="L209" s="14" t="s">
        <v>1586</v>
      </c>
      <c r="M209" s="14" t="s">
        <v>1586</v>
      </c>
      <c r="N209" s="14" t="s">
        <v>1586</v>
      </c>
      <c r="O209" s="14" t="s">
        <v>1586</v>
      </c>
      <c r="P209" s="15">
        <v>1</v>
      </c>
      <c r="Q209" s="14" t="s">
        <v>1586</v>
      </c>
      <c r="R209" s="14" t="s">
        <v>1586</v>
      </c>
    </row>
    <row r="210" spans="1:18" ht="14.25">
      <c r="A210" s="6">
        <v>207</v>
      </c>
      <c r="B210" s="7" t="s">
        <v>357</v>
      </c>
      <c r="C210" s="8">
        <v>101</v>
      </c>
      <c r="D210" s="8">
        <v>351</v>
      </c>
      <c r="E210" s="14" t="s">
        <v>1586</v>
      </c>
      <c r="F210" s="14" t="s">
        <v>1586</v>
      </c>
      <c r="G210" s="14" t="s">
        <v>1586</v>
      </c>
      <c r="H210" s="14" t="s">
        <v>1586</v>
      </c>
      <c r="I210" s="14" t="s">
        <v>1586</v>
      </c>
      <c r="J210" s="14" t="s">
        <v>1586</v>
      </c>
      <c r="K210" s="14" t="s">
        <v>1586</v>
      </c>
      <c r="L210" s="14" t="s">
        <v>1586</v>
      </c>
      <c r="M210" s="14" t="s">
        <v>1586</v>
      </c>
      <c r="N210" s="15">
        <v>2</v>
      </c>
      <c r="O210" s="14" t="s">
        <v>1586</v>
      </c>
      <c r="P210" s="14" t="s">
        <v>1586</v>
      </c>
      <c r="Q210" s="15">
        <v>1</v>
      </c>
      <c r="R210" s="15">
        <v>1</v>
      </c>
    </row>
    <row r="211" spans="1:18" ht="14.25">
      <c r="A211" s="6">
        <v>208</v>
      </c>
      <c r="B211" s="7" t="s">
        <v>358</v>
      </c>
      <c r="C211" s="8">
        <v>350</v>
      </c>
      <c r="D211" s="8">
        <v>350</v>
      </c>
      <c r="E211" s="14" t="s">
        <v>1586</v>
      </c>
      <c r="F211" s="14" t="s">
        <v>1586</v>
      </c>
      <c r="G211" s="14" t="s">
        <v>1586</v>
      </c>
      <c r="H211" s="14" t="s">
        <v>1586</v>
      </c>
      <c r="I211" s="14" t="s">
        <v>1586</v>
      </c>
      <c r="J211" s="14" t="s">
        <v>1586</v>
      </c>
      <c r="K211" s="14" t="s">
        <v>1586</v>
      </c>
      <c r="L211" s="14" t="s">
        <v>1586</v>
      </c>
      <c r="M211" s="14" t="s">
        <v>1586</v>
      </c>
      <c r="N211" s="14" t="s">
        <v>1586</v>
      </c>
      <c r="O211" s="15">
        <v>1</v>
      </c>
      <c r="P211" s="14" t="s">
        <v>1586</v>
      </c>
      <c r="Q211" s="14" t="s">
        <v>1586</v>
      </c>
      <c r="R211" s="14" t="s">
        <v>1586</v>
      </c>
    </row>
    <row r="212" spans="1:18" ht="14.25">
      <c r="A212" s="6">
        <v>209</v>
      </c>
      <c r="B212" s="7" t="s">
        <v>359</v>
      </c>
      <c r="C212" s="8">
        <v>70.3</v>
      </c>
      <c r="D212" s="8">
        <v>345</v>
      </c>
      <c r="E212" s="14" t="s">
        <v>1586</v>
      </c>
      <c r="F212" s="14" t="s">
        <v>1586</v>
      </c>
      <c r="G212" s="14" t="s">
        <v>1586</v>
      </c>
      <c r="H212" s="14" t="s">
        <v>1586</v>
      </c>
      <c r="I212" s="14" t="s">
        <v>1586</v>
      </c>
      <c r="J212" s="15">
        <v>1</v>
      </c>
      <c r="K212" s="14" t="s">
        <v>1586</v>
      </c>
      <c r="L212" s="15">
        <v>1</v>
      </c>
      <c r="M212" s="15">
        <v>1</v>
      </c>
      <c r="N212" s="15">
        <v>1</v>
      </c>
      <c r="O212" s="15">
        <v>1</v>
      </c>
      <c r="P212" s="14" t="s">
        <v>1586</v>
      </c>
      <c r="Q212" s="14" t="s">
        <v>1586</v>
      </c>
      <c r="R212" s="14" t="s">
        <v>1586</v>
      </c>
    </row>
    <row r="213" spans="1:18" ht="14.25">
      <c r="A213" s="6">
        <v>210</v>
      </c>
      <c r="B213" s="7" t="s">
        <v>360</v>
      </c>
      <c r="C213" s="8">
        <v>101</v>
      </c>
      <c r="D213" s="8">
        <v>340</v>
      </c>
      <c r="E213" s="14" t="s">
        <v>1586</v>
      </c>
      <c r="F213" s="14" t="s">
        <v>1586</v>
      </c>
      <c r="G213" s="14" t="s">
        <v>1586</v>
      </c>
      <c r="H213" s="14" t="s">
        <v>1586</v>
      </c>
      <c r="I213" s="14" t="s">
        <v>1586</v>
      </c>
      <c r="J213" s="14" t="s">
        <v>1586</v>
      </c>
      <c r="K213" s="14" t="s">
        <v>1586</v>
      </c>
      <c r="L213" s="14" t="s">
        <v>1586</v>
      </c>
      <c r="M213" s="14" t="s">
        <v>1586</v>
      </c>
      <c r="N213" s="14" t="s">
        <v>1586</v>
      </c>
      <c r="O213" s="14" t="s">
        <v>1586</v>
      </c>
      <c r="P213" s="15">
        <v>1</v>
      </c>
      <c r="Q213" s="15">
        <v>1</v>
      </c>
      <c r="R213" s="14" t="s">
        <v>1586</v>
      </c>
    </row>
    <row r="214" spans="1:18" ht="14.25">
      <c r="A214" s="6">
        <v>211</v>
      </c>
      <c r="B214" s="7" t="s">
        <v>361</v>
      </c>
      <c r="C214" s="8">
        <v>335</v>
      </c>
      <c r="D214" s="8">
        <v>335</v>
      </c>
      <c r="E214" s="14" t="s">
        <v>1586</v>
      </c>
      <c r="F214" s="14" t="s">
        <v>1586</v>
      </c>
      <c r="G214" s="14" t="s">
        <v>1586</v>
      </c>
      <c r="H214" s="14" t="s">
        <v>1586</v>
      </c>
      <c r="I214" s="14" t="s">
        <v>1586</v>
      </c>
      <c r="J214" s="14" t="s">
        <v>1586</v>
      </c>
      <c r="K214" s="14" t="s">
        <v>1586</v>
      </c>
      <c r="L214" s="14" t="s">
        <v>1586</v>
      </c>
      <c r="M214" s="14" t="s">
        <v>1586</v>
      </c>
      <c r="N214" s="14" t="s">
        <v>1586</v>
      </c>
      <c r="O214" s="14" t="s">
        <v>1586</v>
      </c>
      <c r="P214" s="14" t="s">
        <v>1586</v>
      </c>
      <c r="Q214" s="14" t="s">
        <v>1586</v>
      </c>
      <c r="R214" s="15">
        <v>1</v>
      </c>
    </row>
    <row r="215" spans="1:18" ht="14.25">
      <c r="A215" s="6">
        <v>212</v>
      </c>
      <c r="B215" s="7" t="s">
        <v>362</v>
      </c>
      <c r="C215" s="8">
        <v>333.4</v>
      </c>
      <c r="D215" s="8">
        <v>333.4</v>
      </c>
      <c r="E215" s="14" t="s">
        <v>1586</v>
      </c>
      <c r="F215" s="14" t="s">
        <v>1586</v>
      </c>
      <c r="G215" s="14" t="s">
        <v>1586</v>
      </c>
      <c r="H215" s="14" t="s">
        <v>1586</v>
      </c>
      <c r="I215" s="14" t="s">
        <v>1586</v>
      </c>
      <c r="J215" s="14" t="s">
        <v>1586</v>
      </c>
      <c r="K215" s="14" t="s">
        <v>1586</v>
      </c>
      <c r="L215" s="14" t="s">
        <v>1586</v>
      </c>
      <c r="M215" s="14" t="s">
        <v>1586</v>
      </c>
      <c r="N215" s="14" t="s">
        <v>1586</v>
      </c>
      <c r="O215" s="14" t="s">
        <v>1586</v>
      </c>
      <c r="P215" s="14" t="s">
        <v>1586</v>
      </c>
      <c r="Q215" s="14" t="s">
        <v>1586</v>
      </c>
      <c r="R215" s="15">
        <v>1</v>
      </c>
    </row>
    <row r="216" spans="1:18" ht="14.25">
      <c r="A216" s="6">
        <v>213</v>
      </c>
      <c r="B216" s="7" t="s">
        <v>363</v>
      </c>
      <c r="C216" s="8">
        <v>215</v>
      </c>
      <c r="D216" s="8">
        <v>325</v>
      </c>
      <c r="E216" s="14" t="s">
        <v>1586</v>
      </c>
      <c r="F216" s="14" t="s">
        <v>1586</v>
      </c>
      <c r="G216" s="14" t="s">
        <v>1586</v>
      </c>
      <c r="H216" s="14" t="s">
        <v>1586</v>
      </c>
      <c r="I216" s="14" t="s">
        <v>1586</v>
      </c>
      <c r="J216" s="14" t="s">
        <v>1586</v>
      </c>
      <c r="K216" s="14" t="s">
        <v>1586</v>
      </c>
      <c r="L216" s="14" t="s">
        <v>1586</v>
      </c>
      <c r="M216" s="14" t="s">
        <v>1586</v>
      </c>
      <c r="N216" s="14" t="s">
        <v>1586</v>
      </c>
      <c r="O216" s="14" t="s">
        <v>1586</v>
      </c>
      <c r="P216" s="14" t="s">
        <v>1586</v>
      </c>
      <c r="Q216" s="15">
        <v>1</v>
      </c>
      <c r="R216" s="15">
        <v>1</v>
      </c>
    </row>
    <row r="217" spans="1:18" ht="14.25">
      <c r="A217" s="6">
        <v>214</v>
      </c>
      <c r="B217" s="7" t="s">
        <v>364</v>
      </c>
      <c r="C217" s="8">
        <v>57</v>
      </c>
      <c r="D217" s="8">
        <v>321</v>
      </c>
      <c r="E217" s="14" t="s">
        <v>1586</v>
      </c>
      <c r="F217" s="14" t="s">
        <v>1586</v>
      </c>
      <c r="G217" s="14" t="s">
        <v>1586</v>
      </c>
      <c r="H217" s="14" t="s">
        <v>1586</v>
      </c>
      <c r="I217" s="14" t="s">
        <v>1586</v>
      </c>
      <c r="J217" s="14" t="s">
        <v>1586</v>
      </c>
      <c r="K217" s="14" t="s">
        <v>1586</v>
      </c>
      <c r="L217" s="14" t="s">
        <v>1586</v>
      </c>
      <c r="M217" s="14" t="s">
        <v>1586</v>
      </c>
      <c r="N217" s="14" t="s">
        <v>1586</v>
      </c>
      <c r="O217" s="14" t="s">
        <v>1586</v>
      </c>
      <c r="P217" s="15">
        <v>2</v>
      </c>
      <c r="Q217" s="14" t="s">
        <v>1586</v>
      </c>
      <c r="R217" s="15">
        <v>1</v>
      </c>
    </row>
    <row r="218" spans="1:18" ht="14.25">
      <c r="A218" s="6">
        <v>215</v>
      </c>
      <c r="B218" s="7" t="s">
        <v>365</v>
      </c>
      <c r="C218" s="8">
        <v>320</v>
      </c>
      <c r="D218" s="8">
        <v>320</v>
      </c>
      <c r="E218" s="14" t="s">
        <v>1586</v>
      </c>
      <c r="F218" s="14" t="s">
        <v>1586</v>
      </c>
      <c r="G218" s="14" t="s">
        <v>1586</v>
      </c>
      <c r="H218" s="14" t="s">
        <v>1586</v>
      </c>
      <c r="I218" s="14" t="s">
        <v>1586</v>
      </c>
      <c r="J218" s="14" t="s">
        <v>1586</v>
      </c>
      <c r="K218" s="14" t="s">
        <v>1586</v>
      </c>
      <c r="L218" s="14" t="s">
        <v>1586</v>
      </c>
      <c r="M218" s="14" t="s">
        <v>1586</v>
      </c>
      <c r="N218" s="14" t="s">
        <v>1586</v>
      </c>
      <c r="O218" s="14" t="s">
        <v>1586</v>
      </c>
      <c r="P218" s="14" t="s">
        <v>1586</v>
      </c>
      <c r="Q218" s="14" t="s">
        <v>1586</v>
      </c>
      <c r="R218" s="15">
        <v>1</v>
      </c>
    </row>
    <row r="219" spans="1:18" ht="14.25">
      <c r="A219" s="6">
        <v>216</v>
      </c>
      <c r="B219" s="7" t="s">
        <v>366</v>
      </c>
      <c r="C219" s="8">
        <v>31.7</v>
      </c>
      <c r="D219" s="8">
        <v>320</v>
      </c>
      <c r="E219" s="14" t="s">
        <v>1586</v>
      </c>
      <c r="F219" s="14" t="s">
        <v>1586</v>
      </c>
      <c r="G219" s="14" t="s">
        <v>1586</v>
      </c>
      <c r="H219" s="14" t="s">
        <v>1586</v>
      </c>
      <c r="I219" s="14" t="s">
        <v>1586</v>
      </c>
      <c r="J219" s="14" t="s">
        <v>1586</v>
      </c>
      <c r="K219" s="14" t="s">
        <v>1586</v>
      </c>
      <c r="L219" s="14" t="s">
        <v>1586</v>
      </c>
      <c r="M219" s="15">
        <v>1</v>
      </c>
      <c r="N219" s="14" t="s">
        <v>1586</v>
      </c>
      <c r="O219" s="14" t="s">
        <v>1586</v>
      </c>
      <c r="P219" s="15">
        <v>1</v>
      </c>
      <c r="Q219" s="15">
        <v>1</v>
      </c>
      <c r="R219" s="15">
        <v>1</v>
      </c>
    </row>
    <row r="220" spans="1:18" ht="14.25">
      <c r="A220" s="6">
        <v>217</v>
      </c>
      <c r="B220" s="7" t="s">
        <v>367</v>
      </c>
      <c r="C220" s="8">
        <v>320</v>
      </c>
      <c r="D220" s="8">
        <v>320</v>
      </c>
      <c r="E220" s="14" t="s">
        <v>1586</v>
      </c>
      <c r="F220" s="14" t="s">
        <v>1586</v>
      </c>
      <c r="G220" s="14" t="s">
        <v>1586</v>
      </c>
      <c r="H220" s="14" t="s">
        <v>1586</v>
      </c>
      <c r="I220" s="14" t="s">
        <v>1586</v>
      </c>
      <c r="J220" s="14" t="s">
        <v>1586</v>
      </c>
      <c r="K220" s="14" t="s">
        <v>1586</v>
      </c>
      <c r="L220" s="14" t="s">
        <v>1586</v>
      </c>
      <c r="M220" s="14" t="s">
        <v>1586</v>
      </c>
      <c r="N220" s="14" t="s">
        <v>1586</v>
      </c>
      <c r="O220" s="14" t="s">
        <v>1586</v>
      </c>
      <c r="P220" s="14" t="s">
        <v>1586</v>
      </c>
      <c r="Q220" s="14" t="s">
        <v>1586</v>
      </c>
      <c r="R220" s="15">
        <v>1</v>
      </c>
    </row>
    <row r="221" spans="1:18" ht="14.25">
      <c r="A221" s="6">
        <v>218</v>
      </c>
      <c r="B221" s="7" t="s">
        <v>368</v>
      </c>
      <c r="C221" s="8">
        <v>55</v>
      </c>
      <c r="D221" s="8">
        <v>311</v>
      </c>
      <c r="E221" s="14" t="s">
        <v>1586</v>
      </c>
      <c r="F221" s="14" t="s">
        <v>1586</v>
      </c>
      <c r="G221" s="14" t="s">
        <v>1586</v>
      </c>
      <c r="H221" s="14" t="s">
        <v>1586</v>
      </c>
      <c r="I221" s="14" t="s">
        <v>1586</v>
      </c>
      <c r="J221" s="14" t="s">
        <v>1586</v>
      </c>
      <c r="K221" s="14" t="s">
        <v>1586</v>
      </c>
      <c r="L221" s="14" t="s">
        <v>1586</v>
      </c>
      <c r="M221" s="14" t="s">
        <v>1586</v>
      </c>
      <c r="N221" s="14" t="s">
        <v>1586</v>
      </c>
      <c r="O221" s="15">
        <v>1</v>
      </c>
      <c r="P221" s="15">
        <v>1</v>
      </c>
      <c r="Q221" s="15">
        <v>1</v>
      </c>
      <c r="R221" s="14" t="s">
        <v>1586</v>
      </c>
    </row>
    <row r="222" spans="1:18" ht="14.25">
      <c r="A222" s="6">
        <v>219</v>
      </c>
      <c r="B222" s="7" t="s">
        <v>369</v>
      </c>
      <c r="C222" s="8">
        <v>308.39999999999998</v>
      </c>
      <c r="D222" s="8">
        <v>308.39999999999998</v>
      </c>
      <c r="E222" s="14" t="s">
        <v>1586</v>
      </c>
      <c r="F222" s="14" t="s">
        <v>1586</v>
      </c>
      <c r="G222" s="14" t="s">
        <v>1586</v>
      </c>
      <c r="H222" s="14" t="s">
        <v>1586</v>
      </c>
      <c r="I222" s="14" t="s">
        <v>1586</v>
      </c>
      <c r="J222" s="14" t="s">
        <v>1586</v>
      </c>
      <c r="K222" s="14" t="s">
        <v>1586</v>
      </c>
      <c r="L222" s="14" t="s">
        <v>1586</v>
      </c>
      <c r="M222" s="14" t="s">
        <v>1586</v>
      </c>
      <c r="N222" s="14" t="s">
        <v>1586</v>
      </c>
      <c r="O222" s="15">
        <v>1</v>
      </c>
      <c r="P222" s="14" t="s">
        <v>1586</v>
      </c>
      <c r="Q222" s="14" t="s">
        <v>1586</v>
      </c>
      <c r="R222" s="14" t="s">
        <v>1586</v>
      </c>
    </row>
    <row r="223" spans="1:18" ht="14.25">
      <c r="A223" s="6">
        <v>220</v>
      </c>
      <c r="B223" s="7" t="s">
        <v>370</v>
      </c>
      <c r="C223" s="8">
        <v>301.5</v>
      </c>
      <c r="D223" s="8">
        <v>301.5</v>
      </c>
      <c r="E223" s="14" t="s">
        <v>1586</v>
      </c>
      <c r="F223" s="14" t="s">
        <v>1586</v>
      </c>
      <c r="G223" s="14" t="s">
        <v>1586</v>
      </c>
      <c r="H223" s="14" t="s">
        <v>1586</v>
      </c>
      <c r="I223" s="14" t="s">
        <v>1586</v>
      </c>
      <c r="J223" s="14" t="s">
        <v>1586</v>
      </c>
      <c r="K223" s="14" t="s">
        <v>1586</v>
      </c>
      <c r="L223" s="14" t="s">
        <v>1586</v>
      </c>
      <c r="M223" s="14" t="s">
        <v>1586</v>
      </c>
      <c r="N223" s="14" t="s">
        <v>1586</v>
      </c>
      <c r="O223" s="15">
        <v>1</v>
      </c>
      <c r="P223" s="14" t="s">
        <v>1586</v>
      </c>
      <c r="Q223" s="14" t="s">
        <v>1586</v>
      </c>
      <c r="R223" s="14" t="s">
        <v>1586</v>
      </c>
    </row>
    <row r="224" spans="1:18" ht="14.25">
      <c r="A224" s="6">
        <v>221</v>
      </c>
      <c r="B224" s="7" t="s">
        <v>371</v>
      </c>
      <c r="C224" s="8">
        <v>45</v>
      </c>
      <c r="D224" s="8">
        <v>301.5</v>
      </c>
      <c r="E224" s="14" t="s">
        <v>1586</v>
      </c>
      <c r="F224" s="14" t="s">
        <v>1586</v>
      </c>
      <c r="G224" s="14" t="s">
        <v>1586</v>
      </c>
      <c r="H224" s="14" t="s">
        <v>1586</v>
      </c>
      <c r="I224" s="14" t="s">
        <v>1586</v>
      </c>
      <c r="J224" s="14" t="s">
        <v>1586</v>
      </c>
      <c r="K224" s="14" t="s">
        <v>1586</v>
      </c>
      <c r="L224" s="14" t="s">
        <v>1586</v>
      </c>
      <c r="M224" s="14" t="s">
        <v>1586</v>
      </c>
      <c r="N224" s="14" t="s">
        <v>1586</v>
      </c>
      <c r="O224" s="15">
        <v>2</v>
      </c>
      <c r="P224" s="14" t="s">
        <v>1586</v>
      </c>
      <c r="Q224" s="14" t="s">
        <v>1586</v>
      </c>
      <c r="R224" s="14" t="s">
        <v>1586</v>
      </c>
    </row>
    <row r="225" spans="1:18" ht="14.25">
      <c r="A225" s="6">
        <v>222</v>
      </c>
      <c r="B225" s="7" t="s">
        <v>372</v>
      </c>
      <c r="C225" s="8">
        <v>300</v>
      </c>
      <c r="D225" s="8">
        <v>300</v>
      </c>
      <c r="E225" s="14" t="s">
        <v>1586</v>
      </c>
      <c r="F225" s="14" t="s">
        <v>1586</v>
      </c>
      <c r="G225" s="14" t="s">
        <v>1586</v>
      </c>
      <c r="H225" s="14" t="s">
        <v>1586</v>
      </c>
      <c r="I225" s="14" t="s">
        <v>1586</v>
      </c>
      <c r="J225" s="14" t="s">
        <v>1586</v>
      </c>
      <c r="K225" s="14" t="s">
        <v>1586</v>
      </c>
      <c r="L225" s="14" t="s">
        <v>1586</v>
      </c>
      <c r="M225" s="14" t="s">
        <v>1586</v>
      </c>
      <c r="N225" s="14" t="s">
        <v>1586</v>
      </c>
      <c r="O225" s="14" t="s">
        <v>1586</v>
      </c>
      <c r="P225" s="14" t="s">
        <v>1586</v>
      </c>
      <c r="Q225" s="15">
        <v>1</v>
      </c>
      <c r="R225" s="14" t="s">
        <v>1586</v>
      </c>
    </row>
    <row r="226" spans="1:18" ht="14.25">
      <c r="A226" s="6">
        <v>223</v>
      </c>
      <c r="B226" s="7" t="s">
        <v>373</v>
      </c>
      <c r="C226" s="8">
        <v>200</v>
      </c>
      <c r="D226" s="8">
        <v>300</v>
      </c>
      <c r="E226" s="14" t="s">
        <v>1586</v>
      </c>
      <c r="F226" s="14" t="s">
        <v>1586</v>
      </c>
      <c r="G226" s="14" t="s">
        <v>1586</v>
      </c>
      <c r="H226" s="14" t="s">
        <v>1586</v>
      </c>
      <c r="I226" s="14" t="s">
        <v>1586</v>
      </c>
      <c r="J226" s="14" t="s">
        <v>1586</v>
      </c>
      <c r="K226" s="14" t="s">
        <v>1586</v>
      </c>
      <c r="L226" s="14" t="s">
        <v>1586</v>
      </c>
      <c r="M226" s="15">
        <v>1</v>
      </c>
      <c r="N226" s="15">
        <v>1</v>
      </c>
      <c r="O226" s="14" t="s">
        <v>1586</v>
      </c>
      <c r="P226" s="15">
        <v>1</v>
      </c>
      <c r="Q226" s="14" t="s">
        <v>1586</v>
      </c>
      <c r="R226" s="15">
        <v>1</v>
      </c>
    </row>
    <row r="227" spans="1:18" ht="14.25">
      <c r="A227" s="6">
        <v>224</v>
      </c>
      <c r="B227" s="7" t="s">
        <v>374</v>
      </c>
      <c r="C227" s="8">
        <v>300</v>
      </c>
      <c r="D227" s="8">
        <v>300</v>
      </c>
      <c r="E227" s="14" t="s">
        <v>1586</v>
      </c>
      <c r="F227" s="14" t="s">
        <v>1586</v>
      </c>
      <c r="G227" s="14" t="s">
        <v>1586</v>
      </c>
      <c r="H227" s="14" t="s">
        <v>1586</v>
      </c>
      <c r="I227" s="14" t="s">
        <v>1586</v>
      </c>
      <c r="J227" s="14" t="s">
        <v>1586</v>
      </c>
      <c r="K227" s="14" t="s">
        <v>1586</v>
      </c>
      <c r="L227" s="14" t="s">
        <v>1586</v>
      </c>
      <c r="M227" s="14" t="s">
        <v>1586</v>
      </c>
      <c r="N227" s="14" t="s">
        <v>1586</v>
      </c>
      <c r="O227" s="14" t="s">
        <v>1586</v>
      </c>
      <c r="P227" s="14" t="s">
        <v>1586</v>
      </c>
      <c r="Q227" s="15">
        <v>1</v>
      </c>
      <c r="R227" s="14" t="s">
        <v>1586</v>
      </c>
    </row>
    <row r="228" spans="1:18" ht="14.25">
      <c r="A228" s="6">
        <v>225</v>
      </c>
      <c r="B228" s="7" t="s">
        <v>375</v>
      </c>
      <c r="C228" s="8">
        <v>295.2</v>
      </c>
      <c r="D228" s="8">
        <v>295.2</v>
      </c>
      <c r="E228" s="14" t="s">
        <v>1586</v>
      </c>
      <c r="F228" s="14" t="s">
        <v>1586</v>
      </c>
      <c r="G228" s="14" t="s">
        <v>1586</v>
      </c>
      <c r="H228" s="14" t="s">
        <v>1586</v>
      </c>
      <c r="I228" s="14" t="s">
        <v>1586</v>
      </c>
      <c r="J228" s="14" t="s">
        <v>1586</v>
      </c>
      <c r="K228" s="14" t="s">
        <v>1586</v>
      </c>
      <c r="L228" s="14" t="s">
        <v>1586</v>
      </c>
      <c r="M228" s="14" t="s">
        <v>1586</v>
      </c>
      <c r="N228" s="14" t="s">
        <v>1586</v>
      </c>
      <c r="O228" s="14" t="s">
        <v>1586</v>
      </c>
      <c r="P228" s="14" t="s">
        <v>1586</v>
      </c>
      <c r="Q228" s="15">
        <v>1</v>
      </c>
      <c r="R228" s="14" t="s">
        <v>1586</v>
      </c>
    </row>
    <row r="229" spans="1:18" ht="14.25">
      <c r="A229" s="6">
        <v>226</v>
      </c>
      <c r="B229" s="7" t="s">
        <v>376</v>
      </c>
      <c r="C229" s="8">
        <v>200</v>
      </c>
      <c r="D229" s="8">
        <v>293.8</v>
      </c>
      <c r="E229" s="14" t="s">
        <v>1586</v>
      </c>
      <c r="F229" s="14" t="s">
        <v>1586</v>
      </c>
      <c r="G229" s="14" t="s">
        <v>1586</v>
      </c>
      <c r="H229" s="14" t="s">
        <v>1586</v>
      </c>
      <c r="I229" s="14" t="s">
        <v>1586</v>
      </c>
      <c r="J229" s="14" t="s">
        <v>1586</v>
      </c>
      <c r="K229" s="14" t="s">
        <v>1586</v>
      </c>
      <c r="L229" s="14" t="s">
        <v>1586</v>
      </c>
      <c r="M229" s="14" t="s">
        <v>1586</v>
      </c>
      <c r="N229" s="14" t="s">
        <v>1586</v>
      </c>
      <c r="O229" s="14" t="s">
        <v>1586</v>
      </c>
      <c r="P229" s="15">
        <v>1</v>
      </c>
      <c r="Q229" s="14" t="s">
        <v>1586</v>
      </c>
      <c r="R229" s="15">
        <v>1</v>
      </c>
    </row>
    <row r="230" spans="1:18" ht="14.25">
      <c r="A230" s="6">
        <v>227</v>
      </c>
      <c r="B230" s="7" t="s">
        <v>377</v>
      </c>
      <c r="C230" s="8">
        <v>136</v>
      </c>
      <c r="D230" s="8">
        <v>291</v>
      </c>
      <c r="E230" s="14" t="s">
        <v>1586</v>
      </c>
      <c r="F230" s="14" t="s">
        <v>1586</v>
      </c>
      <c r="G230" s="14" t="s">
        <v>1586</v>
      </c>
      <c r="H230" s="14" t="s">
        <v>1586</v>
      </c>
      <c r="I230" s="14" t="s">
        <v>1586</v>
      </c>
      <c r="J230" s="14" t="s">
        <v>1586</v>
      </c>
      <c r="K230" s="14" t="s">
        <v>1586</v>
      </c>
      <c r="L230" s="14" t="s">
        <v>1586</v>
      </c>
      <c r="M230" s="14" t="s">
        <v>1586</v>
      </c>
      <c r="N230" s="15">
        <v>1</v>
      </c>
      <c r="O230" s="14" t="s">
        <v>1586</v>
      </c>
      <c r="P230" s="15">
        <v>1</v>
      </c>
      <c r="Q230" s="14" t="s">
        <v>1586</v>
      </c>
      <c r="R230" s="15">
        <v>1</v>
      </c>
    </row>
    <row r="231" spans="1:18" ht="14.25">
      <c r="A231" s="6">
        <v>228</v>
      </c>
      <c r="B231" s="7" t="s">
        <v>378</v>
      </c>
      <c r="C231" s="8">
        <v>288</v>
      </c>
      <c r="D231" s="8">
        <v>288</v>
      </c>
      <c r="E231" s="14" t="s">
        <v>1586</v>
      </c>
      <c r="F231" s="14" t="s">
        <v>1586</v>
      </c>
      <c r="G231" s="14" t="s">
        <v>1586</v>
      </c>
      <c r="H231" s="14" t="s">
        <v>1586</v>
      </c>
      <c r="I231" s="14" t="s">
        <v>1586</v>
      </c>
      <c r="J231" s="14" t="s">
        <v>1586</v>
      </c>
      <c r="K231" s="14" t="s">
        <v>1586</v>
      </c>
      <c r="L231" s="14" t="s">
        <v>1586</v>
      </c>
      <c r="M231" s="14" t="s">
        <v>1586</v>
      </c>
      <c r="N231" s="14" t="s">
        <v>1586</v>
      </c>
      <c r="O231" s="14" t="s">
        <v>1586</v>
      </c>
      <c r="P231" s="14" t="s">
        <v>1586</v>
      </c>
      <c r="Q231" s="14" t="s">
        <v>1586</v>
      </c>
      <c r="R231" s="15">
        <v>1</v>
      </c>
    </row>
    <row r="232" spans="1:18" ht="14.25">
      <c r="A232" s="6">
        <v>229</v>
      </c>
      <c r="B232" s="7" t="s">
        <v>379</v>
      </c>
      <c r="C232" s="8">
        <v>132</v>
      </c>
      <c r="D232" s="8">
        <v>280</v>
      </c>
      <c r="E232" s="14" t="s">
        <v>1586</v>
      </c>
      <c r="F232" s="14" t="s">
        <v>1586</v>
      </c>
      <c r="G232" s="14" t="s">
        <v>1586</v>
      </c>
      <c r="H232" s="14" t="s">
        <v>1586</v>
      </c>
      <c r="I232" s="14" t="s">
        <v>1586</v>
      </c>
      <c r="J232" s="14" t="s">
        <v>1586</v>
      </c>
      <c r="K232" s="14" t="s">
        <v>1586</v>
      </c>
      <c r="L232" s="14" t="s">
        <v>1586</v>
      </c>
      <c r="M232" s="14" t="s">
        <v>1586</v>
      </c>
      <c r="N232" s="15">
        <v>1</v>
      </c>
      <c r="O232" s="14" t="s">
        <v>1586</v>
      </c>
      <c r="P232" s="15">
        <v>1</v>
      </c>
      <c r="Q232" s="14" t="s">
        <v>1586</v>
      </c>
      <c r="R232" s="14" t="s">
        <v>1586</v>
      </c>
    </row>
    <row r="233" spans="1:18" ht="14.25">
      <c r="A233" s="6">
        <v>230</v>
      </c>
      <c r="B233" s="7" t="s">
        <v>380</v>
      </c>
      <c r="C233" s="8">
        <v>32.700000000000003</v>
      </c>
      <c r="D233" s="8">
        <v>275</v>
      </c>
      <c r="E233" s="14" t="s">
        <v>1586</v>
      </c>
      <c r="F233" s="14" t="s">
        <v>1586</v>
      </c>
      <c r="G233" s="14" t="s">
        <v>1586</v>
      </c>
      <c r="H233" s="14" t="s">
        <v>1586</v>
      </c>
      <c r="I233" s="14" t="s">
        <v>1586</v>
      </c>
      <c r="J233" s="14" t="s">
        <v>1586</v>
      </c>
      <c r="K233" s="14" t="s">
        <v>1586</v>
      </c>
      <c r="L233" s="14" t="s">
        <v>1586</v>
      </c>
      <c r="M233" s="15">
        <v>1</v>
      </c>
      <c r="N233" s="14" t="s">
        <v>1586</v>
      </c>
      <c r="O233" s="15">
        <v>1</v>
      </c>
      <c r="P233" s="14" t="s">
        <v>1586</v>
      </c>
      <c r="Q233" s="15">
        <v>1</v>
      </c>
      <c r="R233" s="15">
        <v>2</v>
      </c>
    </row>
    <row r="234" spans="1:18" ht="14.25">
      <c r="A234" s="6">
        <v>231</v>
      </c>
      <c r="B234" s="7" t="s">
        <v>381</v>
      </c>
      <c r="C234" s="8">
        <v>50</v>
      </c>
      <c r="D234" s="8">
        <v>266.7</v>
      </c>
      <c r="E234" s="14" t="s">
        <v>1586</v>
      </c>
      <c r="F234" s="14" t="s">
        <v>1586</v>
      </c>
      <c r="G234" s="14" t="s">
        <v>1586</v>
      </c>
      <c r="H234" s="14" t="s">
        <v>1586</v>
      </c>
      <c r="I234" s="14" t="s">
        <v>1586</v>
      </c>
      <c r="J234" s="14" t="s">
        <v>1586</v>
      </c>
      <c r="K234" s="14" t="s">
        <v>1586</v>
      </c>
      <c r="L234" s="14" t="s">
        <v>1586</v>
      </c>
      <c r="M234" s="14" t="s">
        <v>1586</v>
      </c>
      <c r="N234" s="14" t="s">
        <v>1586</v>
      </c>
      <c r="O234" s="15">
        <v>1</v>
      </c>
      <c r="P234" s="15">
        <v>1</v>
      </c>
      <c r="Q234" s="14" t="s">
        <v>1586</v>
      </c>
      <c r="R234" s="15">
        <v>1</v>
      </c>
    </row>
    <row r="235" spans="1:18" ht="14.25">
      <c r="A235" s="6">
        <v>232</v>
      </c>
      <c r="B235" s="7" t="s">
        <v>382</v>
      </c>
      <c r="C235" s="8">
        <v>266</v>
      </c>
      <c r="D235" s="8">
        <v>266</v>
      </c>
      <c r="E235" s="14" t="s">
        <v>1586</v>
      </c>
      <c r="F235" s="14" t="s">
        <v>1586</v>
      </c>
      <c r="G235" s="14" t="s">
        <v>1586</v>
      </c>
      <c r="H235" s="14" t="s">
        <v>1586</v>
      </c>
      <c r="I235" s="14" t="s">
        <v>1586</v>
      </c>
      <c r="J235" s="14" t="s">
        <v>1586</v>
      </c>
      <c r="K235" s="14" t="s">
        <v>1586</v>
      </c>
      <c r="L235" s="14" t="s">
        <v>1586</v>
      </c>
      <c r="M235" s="14" t="s">
        <v>1586</v>
      </c>
      <c r="N235" s="14" t="s">
        <v>1586</v>
      </c>
      <c r="O235" s="15">
        <v>1</v>
      </c>
      <c r="P235" s="14" t="s">
        <v>1586</v>
      </c>
      <c r="Q235" s="14" t="s">
        <v>1586</v>
      </c>
      <c r="R235" s="14" t="s">
        <v>1586</v>
      </c>
    </row>
    <row r="236" spans="1:18" ht="14.25">
      <c r="A236" s="6">
        <v>233</v>
      </c>
      <c r="B236" s="7" t="s">
        <v>383</v>
      </c>
      <c r="C236" s="8">
        <v>265</v>
      </c>
      <c r="D236" s="8">
        <v>265</v>
      </c>
      <c r="E236" s="14" t="s">
        <v>1586</v>
      </c>
      <c r="F236" s="14" t="s">
        <v>1586</v>
      </c>
      <c r="G236" s="14" t="s">
        <v>1586</v>
      </c>
      <c r="H236" s="14" t="s">
        <v>1586</v>
      </c>
      <c r="I236" s="14" t="s">
        <v>1586</v>
      </c>
      <c r="J236" s="14" t="s">
        <v>1586</v>
      </c>
      <c r="K236" s="14" t="s">
        <v>1586</v>
      </c>
      <c r="L236" s="14" t="s">
        <v>1586</v>
      </c>
      <c r="M236" s="14" t="s">
        <v>1586</v>
      </c>
      <c r="N236" s="14" t="s">
        <v>1586</v>
      </c>
      <c r="O236" s="15">
        <v>1</v>
      </c>
      <c r="P236" s="14" t="s">
        <v>1586</v>
      </c>
      <c r="Q236" s="14" t="s">
        <v>1586</v>
      </c>
      <c r="R236" s="14" t="s">
        <v>1586</v>
      </c>
    </row>
    <row r="237" spans="1:18" ht="14.25">
      <c r="A237" s="6">
        <v>234</v>
      </c>
      <c r="B237" s="7" t="s">
        <v>384</v>
      </c>
      <c r="C237" s="8">
        <v>107.5</v>
      </c>
      <c r="D237" s="8">
        <v>258</v>
      </c>
      <c r="E237" s="14" t="s">
        <v>1586</v>
      </c>
      <c r="F237" s="14" t="s">
        <v>1586</v>
      </c>
      <c r="G237" s="14" t="s">
        <v>1586</v>
      </c>
      <c r="H237" s="14" t="s">
        <v>1586</v>
      </c>
      <c r="I237" s="14" t="s">
        <v>1586</v>
      </c>
      <c r="J237" s="14" t="s">
        <v>1586</v>
      </c>
      <c r="K237" s="14" t="s">
        <v>1586</v>
      </c>
      <c r="L237" s="14" t="s">
        <v>1586</v>
      </c>
      <c r="M237" s="14" t="s">
        <v>1586</v>
      </c>
      <c r="N237" s="14" t="s">
        <v>1586</v>
      </c>
      <c r="O237" s="15">
        <v>2</v>
      </c>
      <c r="P237" s="15">
        <v>1</v>
      </c>
      <c r="Q237" s="14" t="s">
        <v>1586</v>
      </c>
      <c r="R237" s="15">
        <v>1</v>
      </c>
    </row>
    <row r="238" spans="1:18" ht="14.25">
      <c r="A238" s="6">
        <v>235</v>
      </c>
      <c r="B238" s="7" t="s">
        <v>385</v>
      </c>
      <c r="C238" s="8">
        <v>257.89999999999998</v>
      </c>
      <c r="D238" s="8">
        <v>257.89999999999998</v>
      </c>
      <c r="E238" s="14" t="s">
        <v>1586</v>
      </c>
      <c r="F238" s="14" t="s">
        <v>1586</v>
      </c>
      <c r="G238" s="14" t="s">
        <v>1586</v>
      </c>
      <c r="H238" s="14" t="s">
        <v>1586</v>
      </c>
      <c r="I238" s="14" t="s">
        <v>1586</v>
      </c>
      <c r="J238" s="14" t="s">
        <v>1586</v>
      </c>
      <c r="K238" s="14" t="s">
        <v>1586</v>
      </c>
      <c r="L238" s="14" t="s">
        <v>1586</v>
      </c>
      <c r="M238" s="14" t="s">
        <v>1586</v>
      </c>
      <c r="N238" s="14" t="s">
        <v>1586</v>
      </c>
      <c r="O238" s="14" t="s">
        <v>1586</v>
      </c>
      <c r="P238" s="14" t="s">
        <v>1586</v>
      </c>
      <c r="Q238" s="15">
        <v>1</v>
      </c>
      <c r="R238" s="14" t="s">
        <v>1586</v>
      </c>
    </row>
    <row r="239" spans="1:18" ht="14.25">
      <c r="A239" s="6">
        <v>236</v>
      </c>
      <c r="B239" s="7" t="s">
        <v>386</v>
      </c>
      <c r="C239" s="8">
        <v>257</v>
      </c>
      <c r="D239" s="8">
        <v>257</v>
      </c>
      <c r="E239" s="14" t="s">
        <v>1586</v>
      </c>
      <c r="F239" s="14" t="s">
        <v>1586</v>
      </c>
      <c r="G239" s="14" t="s">
        <v>1586</v>
      </c>
      <c r="H239" s="14" t="s">
        <v>1586</v>
      </c>
      <c r="I239" s="14" t="s">
        <v>1586</v>
      </c>
      <c r="J239" s="14" t="s">
        <v>1586</v>
      </c>
      <c r="K239" s="14" t="s">
        <v>1586</v>
      </c>
      <c r="L239" s="14" t="s">
        <v>1586</v>
      </c>
      <c r="M239" s="14" t="s">
        <v>1586</v>
      </c>
      <c r="N239" s="14" t="s">
        <v>1586</v>
      </c>
      <c r="O239" s="15">
        <v>1</v>
      </c>
      <c r="P239" s="14" t="s">
        <v>1586</v>
      </c>
      <c r="Q239" s="14" t="s">
        <v>1586</v>
      </c>
      <c r="R239" s="14" t="s">
        <v>1586</v>
      </c>
    </row>
    <row r="240" spans="1:18" ht="14.25">
      <c r="A240" s="6">
        <v>237</v>
      </c>
      <c r="B240" s="7" t="s">
        <v>387</v>
      </c>
      <c r="C240" s="8">
        <v>26</v>
      </c>
      <c r="D240" s="8">
        <v>257</v>
      </c>
      <c r="E240" s="14" t="s">
        <v>1586</v>
      </c>
      <c r="F240" s="14" t="s">
        <v>1586</v>
      </c>
      <c r="G240" s="14" t="s">
        <v>1586</v>
      </c>
      <c r="H240" s="14" t="s">
        <v>1586</v>
      </c>
      <c r="I240" s="14" t="s">
        <v>1586</v>
      </c>
      <c r="J240" s="14" t="s">
        <v>1586</v>
      </c>
      <c r="K240" s="14" t="s">
        <v>1586</v>
      </c>
      <c r="L240" s="14" t="s">
        <v>1586</v>
      </c>
      <c r="M240" s="14" t="s">
        <v>1586</v>
      </c>
      <c r="N240" s="14" t="s">
        <v>1586</v>
      </c>
      <c r="O240" s="15">
        <v>4</v>
      </c>
      <c r="P240" s="15">
        <v>1</v>
      </c>
      <c r="Q240" s="14" t="s">
        <v>1586</v>
      </c>
      <c r="R240" s="15">
        <v>2</v>
      </c>
    </row>
    <row r="241" spans="1:18" ht="14.25">
      <c r="A241" s="6">
        <v>238</v>
      </c>
      <c r="B241" s="7" t="s">
        <v>388</v>
      </c>
      <c r="C241" s="8">
        <v>5</v>
      </c>
      <c r="D241" s="8">
        <v>250</v>
      </c>
      <c r="E241" s="14" t="s">
        <v>1586</v>
      </c>
      <c r="F241" s="14" t="s">
        <v>1586</v>
      </c>
      <c r="G241" s="14" t="s">
        <v>1586</v>
      </c>
      <c r="H241" s="14" t="s">
        <v>1586</v>
      </c>
      <c r="I241" s="14" t="s">
        <v>1586</v>
      </c>
      <c r="J241" s="14" t="s">
        <v>1586</v>
      </c>
      <c r="K241" s="14" t="s">
        <v>1586</v>
      </c>
      <c r="L241" s="14" t="s">
        <v>1586</v>
      </c>
      <c r="M241" s="14" t="s">
        <v>1586</v>
      </c>
      <c r="N241" s="14" t="s">
        <v>1586</v>
      </c>
      <c r="O241" s="15">
        <v>2</v>
      </c>
      <c r="P241" s="14" t="s">
        <v>1586</v>
      </c>
      <c r="Q241" s="14" t="s">
        <v>1586</v>
      </c>
      <c r="R241" s="14" t="s">
        <v>1586</v>
      </c>
    </row>
    <row r="242" spans="1:18" ht="14.25">
      <c r="A242" s="6">
        <v>239</v>
      </c>
      <c r="B242" s="7" t="s">
        <v>389</v>
      </c>
      <c r="C242" s="8">
        <v>246.2</v>
      </c>
      <c r="D242" s="8">
        <v>246.2</v>
      </c>
      <c r="E242" s="14" t="s">
        <v>1586</v>
      </c>
      <c r="F242" s="14" t="s">
        <v>1586</v>
      </c>
      <c r="G242" s="14" t="s">
        <v>1586</v>
      </c>
      <c r="H242" s="14" t="s">
        <v>1586</v>
      </c>
      <c r="I242" s="14" t="s">
        <v>1586</v>
      </c>
      <c r="J242" s="14" t="s">
        <v>1586</v>
      </c>
      <c r="K242" s="14" t="s">
        <v>1586</v>
      </c>
      <c r="L242" s="14" t="s">
        <v>1586</v>
      </c>
      <c r="M242" s="14" t="s">
        <v>1586</v>
      </c>
      <c r="N242" s="14" t="s">
        <v>1586</v>
      </c>
      <c r="O242" s="15">
        <v>1</v>
      </c>
      <c r="P242" s="14" t="s">
        <v>1586</v>
      </c>
      <c r="Q242" s="14" t="s">
        <v>1586</v>
      </c>
      <c r="R242" s="14" t="s">
        <v>1586</v>
      </c>
    </row>
    <row r="243" spans="1:18" ht="14.25">
      <c r="A243" s="6">
        <v>240</v>
      </c>
      <c r="B243" s="7" t="s">
        <v>390</v>
      </c>
      <c r="C243" s="8">
        <v>246.2</v>
      </c>
      <c r="D243" s="8">
        <v>246.2</v>
      </c>
      <c r="E243" s="14" t="s">
        <v>1586</v>
      </c>
      <c r="F243" s="14" t="s">
        <v>1586</v>
      </c>
      <c r="G243" s="14" t="s">
        <v>1586</v>
      </c>
      <c r="H243" s="14" t="s">
        <v>1586</v>
      </c>
      <c r="I243" s="14" t="s">
        <v>1586</v>
      </c>
      <c r="J243" s="14" t="s">
        <v>1586</v>
      </c>
      <c r="K243" s="14" t="s">
        <v>1586</v>
      </c>
      <c r="L243" s="14" t="s">
        <v>1586</v>
      </c>
      <c r="M243" s="14" t="s">
        <v>1586</v>
      </c>
      <c r="N243" s="14" t="s">
        <v>1586</v>
      </c>
      <c r="O243" s="15">
        <v>1</v>
      </c>
      <c r="P243" s="14" t="s">
        <v>1586</v>
      </c>
      <c r="Q243" s="14" t="s">
        <v>1586</v>
      </c>
      <c r="R243" s="14" t="s">
        <v>1586</v>
      </c>
    </row>
    <row r="244" spans="1:18" ht="14.25">
      <c r="A244" s="6">
        <v>241</v>
      </c>
      <c r="B244" s="7" t="s">
        <v>391</v>
      </c>
      <c r="C244" s="8">
        <v>245</v>
      </c>
      <c r="D244" s="8">
        <v>245</v>
      </c>
      <c r="E244" s="14" t="s">
        <v>1586</v>
      </c>
      <c r="F244" s="14" t="s">
        <v>1586</v>
      </c>
      <c r="G244" s="14" t="s">
        <v>1586</v>
      </c>
      <c r="H244" s="14" t="s">
        <v>1586</v>
      </c>
      <c r="I244" s="14" t="s">
        <v>1586</v>
      </c>
      <c r="J244" s="14" t="s">
        <v>1586</v>
      </c>
      <c r="K244" s="14" t="s">
        <v>1586</v>
      </c>
      <c r="L244" s="14" t="s">
        <v>1586</v>
      </c>
      <c r="M244" s="14" t="s">
        <v>1586</v>
      </c>
      <c r="N244" s="14" t="s">
        <v>1586</v>
      </c>
      <c r="O244" s="14" t="s">
        <v>1586</v>
      </c>
      <c r="P244" s="14" t="s">
        <v>1586</v>
      </c>
      <c r="Q244" s="15">
        <v>1</v>
      </c>
      <c r="R244" s="14" t="s">
        <v>1586</v>
      </c>
    </row>
    <row r="245" spans="1:18" ht="14.25">
      <c r="A245" s="6">
        <v>242</v>
      </c>
      <c r="B245" s="7" t="s">
        <v>392</v>
      </c>
      <c r="C245" s="8">
        <v>233</v>
      </c>
      <c r="D245" s="8">
        <v>233</v>
      </c>
      <c r="E245" s="14" t="s">
        <v>1586</v>
      </c>
      <c r="F245" s="14" t="s">
        <v>1586</v>
      </c>
      <c r="G245" s="14" t="s">
        <v>1586</v>
      </c>
      <c r="H245" s="14" t="s">
        <v>1586</v>
      </c>
      <c r="I245" s="14" t="s">
        <v>1586</v>
      </c>
      <c r="J245" s="14" t="s">
        <v>1586</v>
      </c>
      <c r="K245" s="14" t="s">
        <v>1586</v>
      </c>
      <c r="L245" s="14" t="s">
        <v>1586</v>
      </c>
      <c r="M245" s="14" t="s">
        <v>1586</v>
      </c>
      <c r="N245" s="14" t="s">
        <v>1586</v>
      </c>
      <c r="O245" s="14" t="s">
        <v>1586</v>
      </c>
      <c r="P245" s="15">
        <v>1</v>
      </c>
      <c r="Q245" s="14" t="s">
        <v>1586</v>
      </c>
      <c r="R245" s="14" t="s">
        <v>1586</v>
      </c>
    </row>
    <row r="246" spans="1:18" ht="14.25">
      <c r="A246" s="6">
        <v>243</v>
      </c>
      <c r="B246" s="7" t="s">
        <v>393</v>
      </c>
      <c r="C246" s="8">
        <v>115.1</v>
      </c>
      <c r="D246" s="8">
        <v>232</v>
      </c>
      <c r="E246" s="14" t="s">
        <v>1586</v>
      </c>
      <c r="F246" s="14" t="s">
        <v>1586</v>
      </c>
      <c r="G246" s="14" t="s">
        <v>1586</v>
      </c>
      <c r="H246" s="14" t="s">
        <v>1586</v>
      </c>
      <c r="I246" s="14" t="s">
        <v>1586</v>
      </c>
      <c r="J246" s="14" t="s">
        <v>1586</v>
      </c>
      <c r="K246" s="14" t="s">
        <v>1586</v>
      </c>
      <c r="L246" s="14" t="s">
        <v>1586</v>
      </c>
      <c r="M246" s="15">
        <v>1</v>
      </c>
      <c r="N246" s="14" t="s">
        <v>1586</v>
      </c>
      <c r="O246" s="15">
        <v>1</v>
      </c>
      <c r="P246" s="14" t="s">
        <v>1586</v>
      </c>
      <c r="Q246" s="14" t="s">
        <v>1586</v>
      </c>
      <c r="R246" s="14" t="s">
        <v>1586</v>
      </c>
    </row>
    <row r="247" spans="1:18" ht="14.25">
      <c r="A247" s="6">
        <v>244</v>
      </c>
      <c r="B247" s="7" t="s">
        <v>394</v>
      </c>
      <c r="C247" s="8">
        <v>210</v>
      </c>
      <c r="D247" s="8">
        <v>230</v>
      </c>
      <c r="E247" s="14" t="s">
        <v>1586</v>
      </c>
      <c r="F247" s="14" t="s">
        <v>1586</v>
      </c>
      <c r="G247" s="14" t="s">
        <v>1586</v>
      </c>
      <c r="H247" s="14" t="s">
        <v>1586</v>
      </c>
      <c r="I247" s="14" t="s">
        <v>1586</v>
      </c>
      <c r="J247" s="14" t="s">
        <v>1586</v>
      </c>
      <c r="K247" s="14" t="s">
        <v>1586</v>
      </c>
      <c r="L247" s="14" t="s">
        <v>1586</v>
      </c>
      <c r="M247" s="14" t="s">
        <v>1586</v>
      </c>
      <c r="N247" s="15">
        <v>1</v>
      </c>
      <c r="O247" s="14" t="s">
        <v>1586</v>
      </c>
      <c r="P247" s="15">
        <v>1</v>
      </c>
      <c r="Q247" s="14" t="s">
        <v>1586</v>
      </c>
      <c r="R247" s="14" t="s">
        <v>1586</v>
      </c>
    </row>
    <row r="248" spans="1:18" ht="14.25">
      <c r="A248" s="6">
        <v>245</v>
      </c>
      <c r="B248" s="7" t="s">
        <v>395</v>
      </c>
      <c r="C248" s="8">
        <v>96</v>
      </c>
      <c r="D248" s="8">
        <v>224</v>
      </c>
      <c r="E248" s="14" t="s">
        <v>1586</v>
      </c>
      <c r="F248" s="14" t="s">
        <v>1586</v>
      </c>
      <c r="G248" s="14" t="s">
        <v>1586</v>
      </c>
      <c r="H248" s="14" t="s">
        <v>1586</v>
      </c>
      <c r="I248" s="14" t="s">
        <v>1586</v>
      </c>
      <c r="J248" s="14" t="s">
        <v>1586</v>
      </c>
      <c r="K248" s="14" t="s">
        <v>1586</v>
      </c>
      <c r="L248" s="14" t="s">
        <v>1586</v>
      </c>
      <c r="M248" s="14" t="s">
        <v>1586</v>
      </c>
      <c r="N248" s="14" t="s">
        <v>1586</v>
      </c>
      <c r="O248" s="15">
        <v>1</v>
      </c>
      <c r="P248" s="15">
        <v>1</v>
      </c>
      <c r="Q248" s="14" t="s">
        <v>1586</v>
      </c>
      <c r="R248" s="14" t="s">
        <v>1586</v>
      </c>
    </row>
    <row r="249" spans="1:18" ht="14.25">
      <c r="A249" s="6">
        <v>246</v>
      </c>
      <c r="B249" s="7" t="s">
        <v>396</v>
      </c>
      <c r="C249" s="8">
        <v>223</v>
      </c>
      <c r="D249" s="8">
        <v>223</v>
      </c>
      <c r="E249" s="14" t="s">
        <v>1586</v>
      </c>
      <c r="F249" s="14" t="s">
        <v>1586</v>
      </c>
      <c r="G249" s="14" t="s">
        <v>1586</v>
      </c>
      <c r="H249" s="14" t="s">
        <v>1586</v>
      </c>
      <c r="I249" s="14" t="s">
        <v>1586</v>
      </c>
      <c r="J249" s="14" t="s">
        <v>1586</v>
      </c>
      <c r="K249" s="14" t="s">
        <v>1586</v>
      </c>
      <c r="L249" s="14" t="s">
        <v>1586</v>
      </c>
      <c r="M249" s="14" t="s">
        <v>1586</v>
      </c>
      <c r="N249" s="14" t="s">
        <v>1586</v>
      </c>
      <c r="O249" s="14" t="s">
        <v>1586</v>
      </c>
      <c r="P249" s="14" t="s">
        <v>1586</v>
      </c>
      <c r="Q249" s="14" t="s">
        <v>1586</v>
      </c>
      <c r="R249" s="15">
        <v>1</v>
      </c>
    </row>
    <row r="250" spans="1:18" ht="14.25">
      <c r="A250" s="6">
        <v>247</v>
      </c>
      <c r="B250" s="7" t="s">
        <v>397</v>
      </c>
      <c r="C250" s="8">
        <v>20</v>
      </c>
      <c r="D250" s="8">
        <v>220</v>
      </c>
      <c r="E250" s="14" t="s">
        <v>1586</v>
      </c>
      <c r="F250" s="14" t="s">
        <v>1586</v>
      </c>
      <c r="G250" s="14" t="s">
        <v>1586</v>
      </c>
      <c r="H250" s="14" t="s">
        <v>1586</v>
      </c>
      <c r="I250" s="14" t="s">
        <v>1586</v>
      </c>
      <c r="J250" s="14" t="s">
        <v>1586</v>
      </c>
      <c r="K250" s="14" t="s">
        <v>1586</v>
      </c>
      <c r="L250" s="14" t="s">
        <v>1586</v>
      </c>
      <c r="M250" s="14" t="s">
        <v>1586</v>
      </c>
      <c r="N250" s="15">
        <v>2</v>
      </c>
      <c r="O250" s="15">
        <v>3</v>
      </c>
      <c r="P250" s="14" t="s">
        <v>1586</v>
      </c>
      <c r="Q250" s="14" t="s">
        <v>1586</v>
      </c>
      <c r="R250" s="14" t="s">
        <v>1586</v>
      </c>
    </row>
    <row r="251" spans="1:18" ht="14.25">
      <c r="A251" s="6">
        <v>248</v>
      </c>
      <c r="B251" s="7" t="s">
        <v>398</v>
      </c>
      <c r="C251" s="8">
        <v>27.5</v>
      </c>
      <c r="D251" s="8">
        <v>220</v>
      </c>
      <c r="E251" s="14" t="s">
        <v>1586</v>
      </c>
      <c r="F251" s="14" t="s">
        <v>1586</v>
      </c>
      <c r="G251" s="14" t="s">
        <v>1586</v>
      </c>
      <c r="H251" s="14" t="s">
        <v>1586</v>
      </c>
      <c r="I251" s="14" t="s">
        <v>1586</v>
      </c>
      <c r="J251" s="14" t="s">
        <v>1586</v>
      </c>
      <c r="K251" s="14" t="s">
        <v>1586</v>
      </c>
      <c r="L251" s="14" t="s">
        <v>1586</v>
      </c>
      <c r="M251" s="14" t="s">
        <v>1586</v>
      </c>
      <c r="N251" s="14" t="s">
        <v>1586</v>
      </c>
      <c r="O251" s="15">
        <v>3</v>
      </c>
      <c r="P251" s="14" t="s">
        <v>1586</v>
      </c>
      <c r="Q251" s="14" t="s">
        <v>1586</v>
      </c>
      <c r="R251" s="15">
        <v>2</v>
      </c>
    </row>
    <row r="252" spans="1:18" ht="14.25">
      <c r="A252" s="6">
        <v>249</v>
      </c>
      <c r="B252" s="7" t="s">
        <v>399</v>
      </c>
      <c r="C252" s="8">
        <v>220</v>
      </c>
      <c r="D252" s="8">
        <v>220</v>
      </c>
      <c r="E252" s="14" t="s">
        <v>1586</v>
      </c>
      <c r="F252" s="14" t="s">
        <v>1586</v>
      </c>
      <c r="G252" s="14" t="s">
        <v>1586</v>
      </c>
      <c r="H252" s="14" t="s">
        <v>1586</v>
      </c>
      <c r="I252" s="14" t="s">
        <v>1586</v>
      </c>
      <c r="J252" s="14" t="s">
        <v>1586</v>
      </c>
      <c r="K252" s="14" t="s">
        <v>1586</v>
      </c>
      <c r="L252" s="14" t="s">
        <v>1586</v>
      </c>
      <c r="M252" s="14" t="s">
        <v>1586</v>
      </c>
      <c r="N252" s="14" t="s">
        <v>1586</v>
      </c>
      <c r="O252" s="15">
        <v>1</v>
      </c>
      <c r="P252" s="14" t="s">
        <v>1586</v>
      </c>
      <c r="Q252" s="14" t="s">
        <v>1586</v>
      </c>
      <c r="R252" s="14" t="s">
        <v>1586</v>
      </c>
    </row>
    <row r="253" spans="1:18" ht="14.25">
      <c r="A253" s="6">
        <v>250</v>
      </c>
      <c r="B253" s="7" t="s">
        <v>400</v>
      </c>
      <c r="C253" s="8">
        <v>192</v>
      </c>
      <c r="D253" s="8">
        <v>219.5</v>
      </c>
      <c r="E253" s="14" t="s">
        <v>1586</v>
      </c>
      <c r="F253" s="14" t="s">
        <v>1586</v>
      </c>
      <c r="G253" s="14" t="s">
        <v>1586</v>
      </c>
      <c r="H253" s="14" t="s">
        <v>1586</v>
      </c>
      <c r="I253" s="14" t="s">
        <v>1586</v>
      </c>
      <c r="J253" s="14" t="s">
        <v>1586</v>
      </c>
      <c r="K253" s="14" t="s">
        <v>1586</v>
      </c>
      <c r="L253" s="14" t="s">
        <v>1586</v>
      </c>
      <c r="M253" s="14" t="s">
        <v>1586</v>
      </c>
      <c r="N253" s="14" t="s">
        <v>1586</v>
      </c>
      <c r="O253" s="15">
        <v>1</v>
      </c>
      <c r="P253" s="15">
        <v>1</v>
      </c>
      <c r="Q253" s="14" t="s">
        <v>1586</v>
      </c>
      <c r="R253" s="14" t="s">
        <v>1586</v>
      </c>
    </row>
    <row r="254" spans="1:18" ht="14.25">
      <c r="A254" s="6">
        <v>251</v>
      </c>
      <c r="B254" s="7" t="s">
        <v>401</v>
      </c>
      <c r="C254" s="8">
        <v>218</v>
      </c>
      <c r="D254" s="8">
        <v>218</v>
      </c>
      <c r="E254" s="14" t="s">
        <v>1586</v>
      </c>
      <c r="F254" s="14" t="s">
        <v>1586</v>
      </c>
      <c r="G254" s="14" t="s">
        <v>1586</v>
      </c>
      <c r="H254" s="14" t="s">
        <v>1586</v>
      </c>
      <c r="I254" s="14" t="s">
        <v>1586</v>
      </c>
      <c r="J254" s="14" t="s">
        <v>1586</v>
      </c>
      <c r="K254" s="14" t="s">
        <v>1586</v>
      </c>
      <c r="L254" s="14" t="s">
        <v>1586</v>
      </c>
      <c r="M254" s="14" t="s">
        <v>1586</v>
      </c>
      <c r="N254" s="14" t="s">
        <v>1586</v>
      </c>
      <c r="O254" s="15">
        <v>1</v>
      </c>
      <c r="P254" s="14" t="s">
        <v>1586</v>
      </c>
      <c r="Q254" s="14" t="s">
        <v>1586</v>
      </c>
      <c r="R254" s="14" t="s">
        <v>1586</v>
      </c>
    </row>
    <row r="255" spans="1:18" ht="14.25">
      <c r="A255" s="6">
        <v>252</v>
      </c>
      <c r="B255" s="7" t="s">
        <v>402</v>
      </c>
      <c r="C255" s="8">
        <v>43</v>
      </c>
      <c r="D255" s="8">
        <v>210</v>
      </c>
      <c r="E255" s="14" t="s">
        <v>1586</v>
      </c>
      <c r="F255" s="14" t="s">
        <v>1586</v>
      </c>
      <c r="G255" s="14" t="s">
        <v>1586</v>
      </c>
      <c r="H255" s="14" t="s">
        <v>1586</v>
      </c>
      <c r="I255" s="14" t="s">
        <v>1586</v>
      </c>
      <c r="J255" s="14" t="s">
        <v>1586</v>
      </c>
      <c r="K255" s="14" t="s">
        <v>1586</v>
      </c>
      <c r="L255" s="14" t="s">
        <v>1586</v>
      </c>
      <c r="M255" s="14" t="s">
        <v>1586</v>
      </c>
      <c r="N255" s="14" t="s">
        <v>1586</v>
      </c>
      <c r="O255" s="15">
        <v>1</v>
      </c>
      <c r="P255" s="15">
        <v>1</v>
      </c>
      <c r="Q255" s="14" t="s">
        <v>1586</v>
      </c>
      <c r="R255" s="15">
        <v>1</v>
      </c>
    </row>
    <row r="256" spans="1:18" ht="14.25">
      <c r="A256" s="6">
        <v>253</v>
      </c>
      <c r="B256" s="7" t="s">
        <v>403</v>
      </c>
      <c r="C256" s="8">
        <v>63.5</v>
      </c>
      <c r="D256" s="8">
        <v>210</v>
      </c>
      <c r="E256" s="14" t="s">
        <v>1586</v>
      </c>
      <c r="F256" s="14" t="s">
        <v>1586</v>
      </c>
      <c r="G256" s="14" t="s">
        <v>1586</v>
      </c>
      <c r="H256" s="14" t="s">
        <v>1586</v>
      </c>
      <c r="I256" s="14" t="s">
        <v>1586</v>
      </c>
      <c r="J256" s="14" t="s">
        <v>1586</v>
      </c>
      <c r="K256" s="14" t="s">
        <v>1586</v>
      </c>
      <c r="L256" s="14" t="s">
        <v>1586</v>
      </c>
      <c r="M256" s="14" t="s">
        <v>1586</v>
      </c>
      <c r="N256" s="15">
        <v>1</v>
      </c>
      <c r="O256" s="14" t="s">
        <v>1586</v>
      </c>
      <c r="P256" s="14" t="s">
        <v>1586</v>
      </c>
      <c r="Q256" s="15">
        <v>1</v>
      </c>
      <c r="R256" s="15">
        <v>1</v>
      </c>
    </row>
    <row r="257" spans="1:18" ht="14.25">
      <c r="A257" s="6">
        <v>254</v>
      </c>
      <c r="B257" s="7" t="s">
        <v>404</v>
      </c>
      <c r="C257" s="8">
        <v>210</v>
      </c>
      <c r="D257" s="8">
        <v>210</v>
      </c>
      <c r="E257" s="14" t="s">
        <v>1586</v>
      </c>
      <c r="F257" s="14" t="s">
        <v>1586</v>
      </c>
      <c r="G257" s="14" t="s">
        <v>1586</v>
      </c>
      <c r="H257" s="14" t="s">
        <v>1586</v>
      </c>
      <c r="I257" s="14" t="s">
        <v>1586</v>
      </c>
      <c r="J257" s="14" t="s">
        <v>1586</v>
      </c>
      <c r="K257" s="14" t="s">
        <v>1586</v>
      </c>
      <c r="L257" s="14" t="s">
        <v>1586</v>
      </c>
      <c r="M257" s="14" t="s">
        <v>1586</v>
      </c>
      <c r="N257" s="14" t="s">
        <v>1586</v>
      </c>
      <c r="O257" s="14" t="s">
        <v>1586</v>
      </c>
      <c r="P257" s="15">
        <v>1</v>
      </c>
      <c r="Q257" s="14" t="s">
        <v>1586</v>
      </c>
      <c r="R257" s="14" t="s">
        <v>1586</v>
      </c>
    </row>
    <row r="258" spans="1:18" ht="14.25">
      <c r="A258" s="6">
        <v>255</v>
      </c>
      <c r="B258" s="7" t="s">
        <v>405</v>
      </c>
      <c r="C258" s="8">
        <v>92</v>
      </c>
      <c r="D258" s="8">
        <v>209.1</v>
      </c>
      <c r="E258" s="14" t="s">
        <v>1586</v>
      </c>
      <c r="F258" s="14" t="s">
        <v>1586</v>
      </c>
      <c r="G258" s="14" t="s">
        <v>1586</v>
      </c>
      <c r="H258" s="14" t="s">
        <v>1586</v>
      </c>
      <c r="I258" s="14" t="s">
        <v>1586</v>
      </c>
      <c r="J258" s="14" t="s">
        <v>1586</v>
      </c>
      <c r="K258" s="14" t="s">
        <v>1586</v>
      </c>
      <c r="L258" s="14" t="s">
        <v>1586</v>
      </c>
      <c r="M258" s="14" t="s">
        <v>1586</v>
      </c>
      <c r="N258" s="14" t="s">
        <v>1586</v>
      </c>
      <c r="O258" s="14" t="s">
        <v>1586</v>
      </c>
      <c r="P258" s="14" t="s">
        <v>1586</v>
      </c>
      <c r="Q258" s="14" t="s">
        <v>1586</v>
      </c>
      <c r="R258" s="15">
        <v>2</v>
      </c>
    </row>
    <row r="259" spans="1:18" ht="14.25">
      <c r="A259" s="6">
        <v>256</v>
      </c>
      <c r="B259" s="7" t="s">
        <v>406</v>
      </c>
      <c r="C259" s="8">
        <v>207</v>
      </c>
      <c r="D259" s="8">
        <v>207</v>
      </c>
      <c r="E259" s="14" t="s">
        <v>1586</v>
      </c>
      <c r="F259" s="14" t="s">
        <v>1586</v>
      </c>
      <c r="G259" s="14" t="s">
        <v>1586</v>
      </c>
      <c r="H259" s="14" t="s">
        <v>1586</v>
      </c>
      <c r="I259" s="14" t="s">
        <v>1586</v>
      </c>
      <c r="J259" s="14" t="s">
        <v>1586</v>
      </c>
      <c r="K259" s="14" t="s">
        <v>1586</v>
      </c>
      <c r="L259" s="14" t="s">
        <v>1586</v>
      </c>
      <c r="M259" s="14" t="s">
        <v>1586</v>
      </c>
      <c r="N259" s="14" t="s">
        <v>1586</v>
      </c>
      <c r="O259" s="14" t="s">
        <v>1586</v>
      </c>
      <c r="P259" s="14" t="s">
        <v>1586</v>
      </c>
      <c r="Q259" s="14" t="s">
        <v>1586</v>
      </c>
      <c r="R259" s="15">
        <v>1</v>
      </c>
    </row>
    <row r="260" spans="1:18" ht="14.25">
      <c r="A260" s="6">
        <v>257</v>
      </c>
      <c r="B260" s="7" t="s">
        <v>407</v>
      </c>
      <c r="C260" s="8">
        <v>200</v>
      </c>
      <c r="D260" s="8">
        <v>207</v>
      </c>
      <c r="E260" s="14" t="s">
        <v>1586</v>
      </c>
      <c r="F260" s="14" t="s">
        <v>1586</v>
      </c>
      <c r="G260" s="14" t="s">
        <v>1586</v>
      </c>
      <c r="H260" s="14" t="s">
        <v>1586</v>
      </c>
      <c r="I260" s="14" t="s">
        <v>1586</v>
      </c>
      <c r="J260" s="14" t="s">
        <v>1586</v>
      </c>
      <c r="K260" s="14" t="s">
        <v>1586</v>
      </c>
      <c r="L260" s="14" t="s">
        <v>1586</v>
      </c>
      <c r="M260" s="14" t="s">
        <v>1586</v>
      </c>
      <c r="N260" s="14" t="s">
        <v>1586</v>
      </c>
      <c r="O260" s="15">
        <v>2</v>
      </c>
      <c r="P260" s="14" t="s">
        <v>1586</v>
      </c>
      <c r="Q260" s="14" t="s">
        <v>1586</v>
      </c>
      <c r="R260" s="14" t="s">
        <v>1586</v>
      </c>
    </row>
    <row r="261" spans="1:18" ht="14.25">
      <c r="A261" s="6">
        <v>258</v>
      </c>
      <c r="B261" s="7" t="s">
        <v>408</v>
      </c>
      <c r="C261" s="8">
        <v>37.5</v>
      </c>
      <c r="D261" s="8">
        <v>206</v>
      </c>
      <c r="E261" s="14" t="s">
        <v>1586</v>
      </c>
      <c r="F261" s="14" t="s">
        <v>1586</v>
      </c>
      <c r="G261" s="14" t="s">
        <v>1586</v>
      </c>
      <c r="H261" s="14" t="s">
        <v>1586</v>
      </c>
      <c r="I261" s="14" t="s">
        <v>1586</v>
      </c>
      <c r="J261" s="14" t="s">
        <v>1586</v>
      </c>
      <c r="K261" s="14" t="s">
        <v>1586</v>
      </c>
      <c r="L261" s="14" t="s">
        <v>1586</v>
      </c>
      <c r="M261" s="14" t="s">
        <v>1586</v>
      </c>
      <c r="N261" s="15">
        <v>1</v>
      </c>
      <c r="O261" s="15">
        <v>2</v>
      </c>
      <c r="P261" s="14" t="s">
        <v>1586</v>
      </c>
      <c r="Q261" s="15">
        <v>1</v>
      </c>
      <c r="R261" s="14" t="s">
        <v>1586</v>
      </c>
    </row>
    <row r="262" spans="1:18" ht="14.25">
      <c r="A262" s="6">
        <v>259</v>
      </c>
      <c r="B262" s="7" t="s">
        <v>409</v>
      </c>
      <c r="C262" s="8">
        <v>196</v>
      </c>
      <c r="D262" s="8">
        <v>206</v>
      </c>
      <c r="E262" s="14" t="s">
        <v>1586</v>
      </c>
      <c r="F262" s="14" t="s">
        <v>1586</v>
      </c>
      <c r="G262" s="14" t="s">
        <v>1586</v>
      </c>
      <c r="H262" s="14" t="s">
        <v>1586</v>
      </c>
      <c r="I262" s="14" t="s">
        <v>1586</v>
      </c>
      <c r="J262" s="14" t="s">
        <v>1586</v>
      </c>
      <c r="K262" s="14" t="s">
        <v>1586</v>
      </c>
      <c r="L262" s="14" t="s">
        <v>1586</v>
      </c>
      <c r="M262" s="14" t="s">
        <v>1586</v>
      </c>
      <c r="N262" s="14" t="s">
        <v>1586</v>
      </c>
      <c r="O262" s="15">
        <v>1</v>
      </c>
      <c r="P262" s="15">
        <v>1</v>
      </c>
      <c r="Q262" s="14" t="s">
        <v>1586</v>
      </c>
      <c r="R262" s="14" t="s">
        <v>1586</v>
      </c>
    </row>
    <row r="263" spans="1:18" ht="14.25">
      <c r="A263" s="6">
        <v>260</v>
      </c>
      <c r="B263" s="7" t="s">
        <v>410</v>
      </c>
      <c r="C263" s="8">
        <v>203.5</v>
      </c>
      <c r="D263" s="8">
        <v>203.5</v>
      </c>
      <c r="E263" s="14" t="s">
        <v>1586</v>
      </c>
      <c r="F263" s="14" t="s">
        <v>1586</v>
      </c>
      <c r="G263" s="14" t="s">
        <v>1586</v>
      </c>
      <c r="H263" s="14" t="s">
        <v>1586</v>
      </c>
      <c r="I263" s="14" t="s">
        <v>1586</v>
      </c>
      <c r="J263" s="14" t="s">
        <v>1586</v>
      </c>
      <c r="K263" s="14" t="s">
        <v>1586</v>
      </c>
      <c r="L263" s="14" t="s">
        <v>1586</v>
      </c>
      <c r="M263" s="14" t="s">
        <v>1586</v>
      </c>
      <c r="N263" s="14" t="s">
        <v>1586</v>
      </c>
      <c r="O263" s="15">
        <v>1</v>
      </c>
      <c r="P263" s="14" t="s">
        <v>1586</v>
      </c>
      <c r="Q263" s="14" t="s">
        <v>1586</v>
      </c>
      <c r="R263" s="14" t="s">
        <v>1586</v>
      </c>
    </row>
    <row r="264" spans="1:18" ht="14.25">
      <c r="A264" s="6">
        <v>261</v>
      </c>
      <c r="B264" s="7" t="s">
        <v>411</v>
      </c>
      <c r="C264" s="8">
        <v>203.5</v>
      </c>
      <c r="D264" s="8">
        <v>203.5</v>
      </c>
      <c r="E264" s="14" t="s">
        <v>1586</v>
      </c>
      <c r="F264" s="14" t="s">
        <v>1586</v>
      </c>
      <c r="G264" s="14" t="s">
        <v>1586</v>
      </c>
      <c r="H264" s="14" t="s">
        <v>1586</v>
      </c>
      <c r="I264" s="14" t="s">
        <v>1586</v>
      </c>
      <c r="J264" s="14" t="s">
        <v>1586</v>
      </c>
      <c r="K264" s="14" t="s">
        <v>1586</v>
      </c>
      <c r="L264" s="14" t="s">
        <v>1586</v>
      </c>
      <c r="M264" s="14" t="s">
        <v>1586</v>
      </c>
      <c r="N264" s="14" t="s">
        <v>1586</v>
      </c>
      <c r="O264" s="15">
        <v>1</v>
      </c>
      <c r="P264" s="14" t="s">
        <v>1586</v>
      </c>
      <c r="Q264" s="14" t="s">
        <v>1586</v>
      </c>
      <c r="R264" s="14" t="s">
        <v>1586</v>
      </c>
    </row>
    <row r="265" spans="1:18" ht="14.25">
      <c r="A265" s="6">
        <v>262</v>
      </c>
      <c r="B265" s="7" t="s">
        <v>412</v>
      </c>
      <c r="C265" s="8">
        <v>202</v>
      </c>
      <c r="D265" s="8">
        <v>202</v>
      </c>
      <c r="E265" s="14" t="s">
        <v>1586</v>
      </c>
      <c r="F265" s="14" t="s">
        <v>1586</v>
      </c>
      <c r="G265" s="14" t="s">
        <v>1586</v>
      </c>
      <c r="H265" s="14" t="s">
        <v>1586</v>
      </c>
      <c r="I265" s="14" t="s">
        <v>1586</v>
      </c>
      <c r="J265" s="14" t="s">
        <v>1586</v>
      </c>
      <c r="K265" s="14" t="s">
        <v>1586</v>
      </c>
      <c r="L265" s="14" t="s">
        <v>1586</v>
      </c>
      <c r="M265" s="14" t="s">
        <v>1586</v>
      </c>
      <c r="N265" s="14" t="s">
        <v>1586</v>
      </c>
      <c r="O265" s="14" t="s">
        <v>1586</v>
      </c>
      <c r="P265" s="14" t="s">
        <v>1586</v>
      </c>
      <c r="Q265" s="15">
        <v>1</v>
      </c>
      <c r="R265" s="14" t="s">
        <v>1586</v>
      </c>
    </row>
    <row r="266" spans="1:18" ht="14.25">
      <c r="A266" s="6">
        <v>263</v>
      </c>
      <c r="B266" s="7" t="s">
        <v>413</v>
      </c>
      <c r="C266" s="8">
        <v>2.1</v>
      </c>
      <c r="D266" s="8">
        <v>202</v>
      </c>
      <c r="E266" s="14" t="s">
        <v>1586</v>
      </c>
      <c r="F266" s="14" t="s">
        <v>1586</v>
      </c>
      <c r="G266" s="14" t="s">
        <v>1586</v>
      </c>
      <c r="H266" s="14" t="s">
        <v>1586</v>
      </c>
      <c r="I266" s="14" t="s">
        <v>1586</v>
      </c>
      <c r="J266" s="14" t="s">
        <v>1586</v>
      </c>
      <c r="K266" s="14" t="s">
        <v>1586</v>
      </c>
      <c r="L266" s="14" t="s">
        <v>1586</v>
      </c>
      <c r="M266" s="14" t="s">
        <v>1586</v>
      </c>
      <c r="N266" s="14" t="s">
        <v>1586</v>
      </c>
      <c r="O266" s="14" t="s">
        <v>1586</v>
      </c>
      <c r="P266" s="14" t="s">
        <v>1586</v>
      </c>
      <c r="Q266" s="15">
        <v>3</v>
      </c>
      <c r="R266" s="15">
        <v>5</v>
      </c>
    </row>
    <row r="267" spans="1:18" ht="14.25">
      <c r="A267" s="6">
        <v>264</v>
      </c>
      <c r="B267" s="7" t="s">
        <v>414</v>
      </c>
      <c r="C267" s="8">
        <v>38</v>
      </c>
      <c r="D267" s="8">
        <v>200</v>
      </c>
      <c r="E267" s="14" t="s">
        <v>1586</v>
      </c>
      <c r="F267" s="14" t="s">
        <v>1586</v>
      </c>
      <c r="G267" s="14" t="s">
        <v>1586</v>
      </c>
      <c r="H267" s="14" t="s">
        <v>1586</v>
      </c>
      <c r="I267" s="14" t="s">
        <v>1586</v>
      </c>
      <c r="J267" s="14" t="s">
        <v>1586</v>
      </c>
      <c r="K267" s="14" t="s">
        <v>1586</v>
      </c>
      <c r="L267" s="15">
        <v>1</v>
      </c>
      <c r="M267" s="15">
        <v>1</v>
      </c>
      <c r="N267" s="14" t="s">
        <v>1586</v>
      </c>
      <c r="O267" s="15">
        <v>1</v>
      </c>
      <c r="P267" s="15">
        <v>1</v>
      </c>
      <c r="Q267" s="15">
        <v>1</v>
      </c>
      <c r="R267" s="14" t="s">
        <v>1586</v>
      </c>
    </row>
    <row r="268" spans="1:18" ht="14.25">
      <c r="A268" s="6">
        <v>265</v>
      </c>
      <c r="B268" s="7" t="s">
        <v>416</v>
      </c>
      <c r="C268" s="8">
        <v>31</v>
      </c>
      <c r="D268" s="8">
        <v>200</v>
      </c>
      <c r="E268" s="14" t="s">
        <v>1586</v>
      </c>
      <c r="F268" s="14" t="s">
        <v>1586</v>
      </c>
      <c r="G268" s="14" t="s">
        <v>1586</v>
      </c>
      <c r="H268" s="14" t="s">
        <v>1586</v>
      </c>
      <c r="I268" s="14" t="s">
        <v>1586</v>
      </c>
      <c r="J268" s="14" t="s">
        <v>1586</v>
      </c>
      <c r="K268" s="14" t="s">
        <v>1586</v>
      </c>
      <c r="L268" s="15">
        <v>1</v>
      </c>
      <c r="M268" s="14" t="s">
        <v>1586</v>
      </c>
      <c r="N268" s="14" t="s">
        <v>1586</v>
      </c>
      <c r="O268" s="15">
        <v>1</v>
      </c>
      <c r="P268" s="15">
        <v>1</v>
      </c>
      <c r="Q268" s="14" t="s">
        <v>1586</v>
      </c>
      <c r="R268" s="14" t="s">
        <v>1586</v>
      </c>
    </row>
    <row r="269" spans="1:18" ht="14.25">
      <c r="A269" s="6">
        <v>266</v>
      </c>
      <c r="B269" s="7" t="s">
        <v>417</v>
      </c>
      <c r="C269" s="8">
        <v>146</v>
      </c>
      <c r="D269" s="8">
        <v>200</v>
      </c>
      <c r="E269" s="14" t="s">
        <v>1586</v>
      </c>
      <c r="F269" s="14" t="s">
        <v>1586</v>
      </c>
      <c r="G269" s="14" t="s">
        <v>1586</v>
      </c>
      <c r="H269" s="14" t="s">
        <v>1586</v>
      </c>
      <c r="I269" s="14" t="s">
        <v>1586</v>
      </c>
      <c r="J269" s="14" t="s">
        <v>1586</v>
      </c>
      <c r="K269" s="14" t="s">
        <v>1586</v>
      </c>
      <c r="L269" s="14" t="s">
        <v>1586</v>
      </c>
      <c r="M269" s="14" t="s">
        <v>1586</v>
      </c>
      <c r="N269" s="15">
        <v>1</v>
      </c>
      <c r="O269" s="15">
        <v>2</v>
      </c>
      <c r="P269" s="14" t="s">
        <v>1586</v>
      </c>
      <c r="Q269" s="14" t="s">
        <v>1586</v>
      </c>
      <c r="R269" s="14" t="s">
        <v>1586</v>
      </c>
    </row>
    <row r="270" spans="1:18" ht="14.25">
      <c r="A270" s="6">
        <v>267</v>
      </c>
      <c r="B270" s="7" t="s">
        <v>418</v>
      </c>
      <c r="C270" s="8">
        <v>51</v>
      </c>
      <c r="D270" s="8">
        <v>197.2</v>
      </c>
      <c r="E270" s="14" t="s">
        <v>1586</v>
      </c>
      <c r="F270" s="14" t="s">
        <v>1586</v>
      </c>
      <c r="G270" s="14" t="s">
        <v>1586</v>
      </c>
      <c r="H270" s="14" t="s">
        <v>1586</v>
      </c>
      <c r="I270" s="14" t="s">
        <v>1586</v>
      </c>
      <c r="J270" s="14" t="s">
        <v>1586</v>
      </c>
      <c r="K270" s="14" t="s">
        <v>1586</v>
      </c>
      <c r="L270" s="14" t="s">
        <v>1586</v>
      </c>
      <c r="M270" s="14" t="s">
        <v>1586</v>
      </c>
      <c r="N270" s="14" t="s">
        <v>1586</v>
      </c>
      <c r="O270" s="14" t="s">
        <v>1586</v>
      </c>
      <c r="P270" s="15">
        <v>1</v>
      </c>
      <c r="Q270" s="14" t="s">
        <v>1586</v>
      </c>
      <c r="R270" s="15">
        <v>1</v>
      </c>
    </row>
    <row r="271" spans="1:18" ht="14.25">
      <c r="A271" s="6">
        <v>268</v>
      </c>
      <c r="B271" s="7" t="s">
        <v>419</v>
      </c>
      <c r="C271" s="8">
        <v>50.1</v>
      </c>
      <c r="D271" s="8">
        <v>188.9</v>
      </c>
      <c r="E271" s="14" t="s">
        <v>1586</v>
      </c>
      <c r="F271" s="14" t="s">
        <v>1586</v>
      </c>
      <c r="G271" s="14" t="s">
        <v>1586</v>
      </c>
      <c r="H271" s="14" t="s">
        <v>1586</v>
      </c>
      <c r="I271" s="14" t="s">
        <v>1586</v>
      </c>
      <c r="J271" s="14" t="s">
        <v>1586</v>
      </c>
      <c r="K271" s="14" t="s">
        <v>1586</v>
      </c>
      <c r="L271" s="14" t="s">
        <v>1586</v>
      </c>
      <c r="M271" s="14" t="s">
        <v>1586</v>
      </c>
      <c r="N271" s="15">
        <v>2</v>
      </c>
      <c r="O271" s="15">
        <v>1</v>
      </c>
      <c r="P271" s="14" t="s">
        <v>1586</v>
      </c>
      <c r="Q271" s="14" t="s">
        <v>1586</v>
      </c>
      <c r="R271" s="14" t="s">
        <v>1586</v>
      </c>
    </row>
    <row r="272" spans="1:18" ht="14.25">
      <c r="A272" s="6">
        <v>269</v>
      </c>
      <c r="B272" s="7" t="s">
        <v>420</v>
      </c>
      <c r="C272" s="8">
        <v>54</v>
      </c>
      <c r="D272" s="8">
        <v>188</v>
      </c>
      <c r="E272" s="14" t="s">
        <v>1586</v>
      </c>
      <c r="F272" s="14" t="s">
        <v>1586</v>
      </c>
      <c r="G272" s="14" t="s">
        <v>1586</v>
      </c>
      <c r="H272" s="14" t="s">
        <v>1586</v>
      </c>
      <c r="I272" s="14" t="s">
        <v>1586</v>
      </c>
      <c r="J272" s="14" t="s">
        <v>1586</v>
      </c>
      <c r="K272" s="14" t="s">
        <v>1586</v>
      </c>
      <c r="L272" s="14" t="s">
        <v>1586</v>
      </c>
      <c r="M272" s="14" t="s">
        <v>1586</v>
      </c>
      <c r="N272" s="15">
        <v>1</v>
      </c>
      <c r="O272" s="15">
        <v>1</v>
      </c>
      <c r="P272" s="14" t="s">
        <v>1586</v>
      </c>
      <c r="Q272" s="14" t="s">
        <v>1586</v>
      </c>
      <c r="R272" s="14" t="s">
        <v>1586</v>
      </c>
    </row>
    <row r="273" spans="1:18" ht="14.25">
      <c r="A273" s="6">
        <v>270</v>
      </c>
      <c r="B273" s="7" t="s">
        <v>421</v>
      </c>
      <c r="C273" s="8">
        <v>162.5</v>
      </c>
      <c r="D273" s="8">
        <v>162.5</v>
      </c>
      <c r="E273" s="14" t="s">
        <v>1586</v>
      </c>
      <c r="F273" s="14" t="s">
        <v>1586</v>
      </c>
      <c r="G273" s="14" t="s">
        <v>1586</v>
      </c>
      <c r="H273" s="14" t="s">
        <v>1586</v>
      </c>
      <c r="I273" s="14" t="s">
        <v>1586</v>
      </c>
      <c r="J273" s="14" t="s">
        <v>1586</v>
      </c>
      <c r="K273" s="14" t="s">
        <v>1586</v>
      </c>
      <c r="L273" s="14" t="s">
        <v>1586</v>
      </c>
      <c r="M273" s="14" t="s">
        <v>1586</v>
      </c>
      <c r="N273" s="14" t="s">
        <v>1586</v>
      </c>
      <c r="O273" s="14" t="s">
        <v>1586</v>
      </c>
      <c r="P273" s="14" t="s">
        <v>1586</v>
      </c>
      <c r="Q273" s="14" t="s">
        <v>1586</v>
      </c>
      <c r="R273" s="15">
        <v>1</v>
      </c>
    </row>
    <row r="274" spans="1:18" ht="14.25">
      <c r="A274" s="6">
        <v>271</v>
      </c>
      <c r="B274" s="7" t="s">
        <v>422</v>
      </c>
      <c r="C274" s="8">
        <v>160</v>
      </c>
      <c r="D274" s="8">
        <v>160</v>
      </c>
      <c r="E274" s="14" t="s">
        <v>1586</v>
      </c>
      <c r="F274" s="14" t="s">
        <v>1586</v>
      </c>
      <c r="G274" s="14" t="s">
        <v>1586</v>
      </c>
      <c r="H274" s="14" t="s">
        <v>1586</v>
      </c>
      <c r="I274" s="14" t="s">
        <v>1586</v>
      </c>
      <c r="J274" s="14" t="s">
        <v>1586</v>
      </c>
      <c r="K274" s="14" t="s">
        <v>1586</v>
      </c>
      <c r="L274" s="14" t="s">
        <v>1586</v>
      </c>
      <c r="M274" s="14" t="s">
        <v>1586</v>
      </c>
      <c r="N274" s="14" t="s">
        <v>1586</v>
      </c>
      <c r="O274" s="14" t="s">
        <v>1586</v>
      </c>
      <c r="P274" s="14" t="s">
        <v>1586</v>
      </c>
      <c r="Q274" s="14" t="s">
        <v>1586</v>
      </c>
      <c r="R274" s="15">
        <v>1</v>
      </c>
    </row>
    <row r="275" spans="1:18" ht="14.25">
      <c r="A275" s="6">
        <v>272</v>
      </c>
      <c r="B275" s="7" t="s">
        <v>423</v>
      </c>
      <c r="C275" s="8">
        <v>160</v>
      </c>
      <c r="D275" s="8">
        <v>160</v>
      </c>
      <c r="E275" s="14" t="s">
        <v>1586</v>
      </c>
      <c r="F275" s="14" t="s">
        <v>1586</v>
      </c>
      <c r="G275" s="14" t="s">
        <v>1586</v>
      </c>
      <c r="H275" s="14" t="s">
        <v>1586</v>
      </c>
      <c r="I275" s="14" t="s">
        <v>1586</v>
      </c>
      <c r="J275" s="14" t="s">
        <v>1586</v>
      </c>
      <c r="K275" s="14" t="s">
        <v>1586</v>
      </c>
      <c r="L275" s="14" t="s">
        <v>1586</v>
      </c>
      <c r="M275" s="14" t="s">
        <v>1586</v>
      </c>
      <c r="N275" s="14" t="s">
        <v>1586</v>
      </c>
      <c r="O275" s="14" t="s">
        <v>1586</v>
      </c>
      <c r="P275" s="14" t="s">
        <v>1586</v>
      </c>
      <c r="Q275" s="14" t="s">
        <v>1586</v>
      </c>
      <c r="R275" s="15">
        <v>1</v>
      </c>
    </row>
    <row r="276" spans="1:18" ht="14.25">
      <c r="A276" s="6">
        <v>273</v>
      </c>
      <c r="B276" s="7" t="s">
        <v>424</v>
      </c>
      <c r="C276" s="8">
        <v>151.5</v>
      </c>
      <c r="D276" s="8">
        <v>151.5</v>
      </c>
      <c r="E276" s="14" t="s">
        <v>1586</v>
      </c>
      <c r="F276" s="14" t="s">
        <v>1586</v>
      </c>
      <c r="G276" s="14" t="s">
        <v>1586</v>
      </c>
      <c r="H276" s="14" t="s">
        <v>1586</v>
      </c>
      <c r="I276" s="14" t="s">
        <v>1586</v>
      </c>
      <c r="J276" s="14" t="s">
        <v>1586</v>
      </c>
      <c r="K276" s="14" t="s">
        <v>1586</v>
      </c>
      <c r="L276" s="14" t="s">
        <v>1586</v>
      </c>
      <c r="M276" s="14" t="s">
        <v>1586</v>
      </c>
      <c r="N276" s="14" t="s">
        <v>1586</v>
      </c>
      <c r="O276" s="14" t="s">
        <v>1586</v>
      </c>
      <c r="P276" s="14" t="s">
        <v>1586</v>
      </c>
      <c r="Q276" s="14" t="s">
        <v>1586</v>
      </c>
      <c r="R276" s="15">
        <v>1</v>
      </c>
    </row>
    <row r="277" spans="1:18" ht="14.25">
      <c r="A277" s="6">
        <v>274</v>
      </c>
      <c r="B277" s="7" t="s">
        <v>425</v>
      </c>
      <c r="C277" s="8">
        <v>31</v>
      </c>
      <c r="D277" s="8">
        <v>151</v>
      </c>
      <c r="E277" s="14" t="s">
        <v>1586</v>
      </c>
      <c r="F277" s="14" t="s">
        <v>1586</v>
      </c>
      <c r="G277" s="14" t="s">
        <v>1586</v>
      </c>
      <c r="H277" s="14" t="s">
        <v>1586</v>
      </c>
      <c r="I277" s="14" t="s">
        <v>1586</v>
      </c>
      <c r="J277" s="14" t="s">
        <v>1586</v>
      </c>
      <c r="K277" s="14" t="s">
        <v>1586</v>
      </c>
      <c r="L277" s="14" t="s">
        <v>1586</v>
      </c>
      <c r="M277" s="14" t="s">
        <v>1586</v>
      </c>
      <c r="N277" s="14" t="s">
        <v>1586</v>
      </c>
      <c r="O277" s="15">
        <v>2</v>
      </c>
      <c r="P277" s="14" t="s">
        <v>1586</v>
      </c>
      <c r="Q277" s="14" t="s">
        <v>1586</v>
      </c>
      <c r="R277" s="14" t="s">
        <v>1586</v>
      </c>
    </row>
    <row r="278" spans="1:18" ht="14.25">
      <c r="A278" s="6">
        <v>275</v>
      </c>
      <c r="B278" s="7" t="s">
        <v>426</v>
      </c>
      <c r="C278" s="8">
        <v>22.2</v>
      </c>
      <c r="D278" s="8">
        <v>150.4</v>
      </c>
      <c r="E278" s="14" t="s">
        <v>1586</v>
      </c>
      <c r="F278" s="14" t="s">
        <v>1586</v>
      </c>
      <c r="G278" s="14" t="s">
        <v>1586</v>
      </c>
      <c r="H278" s="14" t="s">
        <v>1586</v>
      </c>
      <c r="I278" s="14" t="s">
        <v>1586</v>
      </c>
      <c r="J278" s="14" t="s">
        <v>1586</v>
      </c>
      <c r="K278" s="14" t="s">
        <v>1586</v>
      </c>
      <c r="L278" s="14" t="s">
        <v>1586</v>
      </c>
      <c r="M278" s="14" t="s">
        <v>1586</v>
      </c>
      <c r="N278" s="15">
        <v>1</v>
      </c>
      <c r="O278" s="15">
        <v>1</v>
      </c>
      <c r="P278" s="14" t="s">
        <v>1586</v>
      </c>
      <c r="Q278" s="14" t="s">
        <v>1586</v>
      </c>
      <c r="R278" s="14" t="s">
        <v>1586</v>
      </c>
    </row>
    <row r="279" spans="1:18" ht="14.25">
      <c r="A279" s="6">
        <v>276</v>
      </c>
      <c r="B279" s="7" t="s">
        <v>427</v>
      </c>
      <c r="C279" s="8">
        <v>51</v>
      </c>
      <c r="D279" s="8">
        <v>150</v>
      </c>
      <c r="E279" s="14" t="s">
        <v>1586</v>
      </c>
      <c r="F279" s="14" t="s">
        <v>1586</v>
      </c>
      <c r="G279" s="14" t="s">
        <v>1586</v>
      </c>
      <c r="H279" s="14" t="s">
        <v>1586</v>
      </c>
      <c r="I279" s="14" t="s">
        <v>1586</v>
      </c>
      <c r="J279" s="14" t="s">
        <v>1586</v>
      </c>
      <c r="K279" s="14" t="s">
        <v>1586</v>
      </c>
      <c r="L279" s="14" t="s">
        <v>1586</v>
      </c>
      <c r="M279" s="14" t="s">
        <v>1586</v>
      </c>
      <c r="N279" s="14" t="s">
        <v>1586</v>
      </c>
      <c r="O279" s="15">
        <v>1</v>
      </c>
      <c r="P279" s="14" t="s">
        <v>1586</v>
      </c>
      <c r="Q279" s="15">
        <v>1</v>
      </c>
      <c r="R279" s="15">
        <v>1</v>
      </c>
    </row>
    <row r="280" spans="1:18" ht="14.25">
      <c r="A280" s="6">
        <v>277</v>
      </c>
      <c r="B280" s="7" t="s">
        <v>428</v>
      </c>
      <c r="C280" s="8">
        <v>20.6</v>
      </c>
      <c r="D280" s="8">
        <v>149.5</v>
      </c>
      <c r="E280" s="14" t="s">
        <v>1586</v>
      </c>
      <c r="F280" s="14" t="s">
        <v>1586</v>
      </c>
      <c r="G280" s="14" t="s">
        <v>1586</v>
      </c>
      <c r="H280" s="14" t="s">
        <v>1586</v>
      </c>
      <c r="I280" s="14" t="s">
        <v>1586</v>
      </c>
      <c r="J280" s="14" t="s">
        <v>1586</v>
      </c>
      <c r="K280" s="14" t="s">
        <v>1586</v>
      </c>
      <c r="L280" s="14" t="s">
        <v>1586</v>
      </c>
      <c r="M280" s="14" t="s">
        <v>1586</v>
      </c>
      <c r="N280" s="15">
        <v>2</v>
      </c>
      <c r="O280" s="15">
        <v>3</v>
      </c>
      <c r="P280" s="14" t="s">
        <v>1586</v>
      </c>
      <c r="Q280" s="14" t="s">
        <v>1586</v>
      </c>
      <c r="R280" s="14" t="s">
        <v>1586</v>
      </c>
    </row>
    <row r="281" spans="1:18" ht="14.25">
      <c r="A281" s="6">
        <v>278</v>
      </c>
      <c r="B281" s="7" t="s">
        <v>429</v>
      </c>
      <c r="C281" s="8">
        <v>142.5</v>
      </c>
      <c r="D281" s="8">
        <v>147</v>
      </c>
      <c r="E281" s="14" t="s">
        <v>1586</v>
      </c>
      <c r="F281" s="14" t="s">
        <v>1586</v>
      </c>
      <c r="G281" s="14" t="s">
        <v>1586</v>
      </c>
      <c r="H281" s="14" t="s">
        <v>1586</v>
      </c>
      <c r="I281" s="14" t="s">
        <v>1586</v>
      </c>
      <c r="J281" s="14" t="s">
        <v>1586</v>
      </c>
      <c r="K281" s="14" t="s">
        <v>1586</v>
      </c>
      <c r="L281" s="14" t="s">
        <v>1586</v>
      </c>
      <c r="M281" s="14" t="s">
        <v>1586</v>
      </c>
      <c r="N281" s="14" t="s">
        <v>1586</v>
      </c>
      <c r="O281" s="14" t="s">
        <v>1586</v>
      </c>
      <c r="P281" s="15">
        <v>1</v>
      </c>
      <c r="Q281" s="14" t="s">
        <v>1586</v>
      </c>
      <c r="R281" s="15">
        <v>1</v>
      </c>
    </row>
    <row r="282" spans="1:18" ht="14.25">
      <c r="A282" s="6">
        <v>279</v>
      </c>
      <c r="B282" s="7" t="s">
        <v>430</v>
      </c>
      <c r="C282" s="8">
        <v>15</v>
      </c>
      <c r="D282" s="8">
        <v>145</v>
      </c>
      <c r="E282" s="14" t="s">
        <v>1586</v>
      </c>
      <c r="F282" s="14" t="s">
        <v>1586</v>
      </c>
      <c r="G282" s="14" t="s">
        <v>1586</v>
      </c>
      <c r="H282" s="14" t="s">
        <v>1586</v>
      </c>
      <c r="I282" s="14" t="s">
        <v>1586</v>
      </c>
      <c r="J282" s="14" t="s">
        <v>1586</v>
      </c>
      <c r="K282" s="14" t="s">
        <v>1586</v>
      </c>
      <c r="L282" s="14" t="s">
        <v>1586</v>
      </c>
      <c r="M282" s="14" t="s">
        <v>1586</v>
      </c>
      <c r="N282" s="14" t="s">
        <v>1586</v>
      </c>
      <c r="O282" s="14" t="s">
        <v>1586</v>
      </c>
      <c r="P282" s="15">
        <v>1</v>
      </c>
      <c r="Q282" s="14" t="s">
        <v>1586</v>
      </c>
      <c r="R282" s="15">
        <v>1</v>
      </c>
    </row>
    <row r="283" spans="1:18" ht="14.25">
      <c r="A283" s="6">
        <v>280</v>
      </c>
      <c r="B283" s="7" t="s">
        <v>432</v>
      </c>
      <c r="C283" s="8">
        <v>141.5</v>
      </c>
      <c r="D283" s="8">
        <v>141.5</v>
      </c>
      <c r="E283" s="14" t="s">
        <v>1586</v>
      </c>
      <c r="F283" s="14" t="s">
        <v>1586</v>
      </c>
      <c r="G283" s="14" t="s">
        <v>1586</v>
      </c>
      <c r="H283" s="14" t="s">
        <v>1586</v>
      </c>
      <c r="I283" s="14" t="s">
        <v>1586</v>
      </c>
      <c r="J283" s="14" t="s">
        <v>1586</v>
      </c>
      <c r="K283" s="14" t="s">
        <v>1586</v>
      </c>
      <c r="L283" s="14" t="s">
        <v>1586</v>
      </c>
      <c r="M283" s="14" t="s">
        <v>1586</v>
      </c>
      <c r="N283" s="14" t="s">
        <v>1586</v>
      </c>
      <c r="O283" s="15">
        <v>1</v>
      </c>
      <c r="P283" s="14" t="s">
        <v>1586</v>
      </c>
      <c r="Q283" s="14" t="s">
        <v>1586</v>
      </c>
      <c r="R283" s="14" t="s">
        <v>1586</v>
      </c>
    </row>
    <row r="284" spans="1:18" ht="14.25">
      <c r="A284" s="6">
        <v>281</v>
      </c>
      <c r="B284" s="7" t="s">
        <v>433</v>
      </c>
      <c r="C284" s="8">
        <v>77.099999999999994</v>
      </c>
      <c r="D284" s="8">
        <v>141.4</v>
      </c>
      <c r="E284" s="14" t="s">
        <v>1586</v>
      </c>
      <c r="F284" s="14" t="s">
        <v>1586</v>
      </c>
      <c r="G284" s="14" t="s">
        <v>1586</v>
      </c>
      <c r="H284" s="14" t="s">
        <v>1586</v>
      </c>
      <c r="I284" s="14" t="s">
        <v>1586</v>
      </c>
      <c r="J284" s="14" t="s">
        <v>1586</v>
      </c>
      <c r="K284" s="14" t="s">
        <v>1586</v>
      </c>
      <c r="L284" s="14" t="s">
        <v>1586</v>
      </c>
      <c r="M284" s="14" t="s">
        <v>1586</v>
      </c>
      <c r="N284" s="15">
        <v>1</v>
      </c>
      <c r="O284" s="15">
        <v>1</v>
      </c>
      <c r="P284" s="14" t="s">
        <v>1586</v>
      </c>
      <c r="Q284" s="14" t="s">
        <v>1586</v>
      </c>
      <c r="R284" s="14" t="s">
        <v>1586</v>
      </c>
    </row>
    <row r="285" spans="1:18" ht="14.25">
      <c r="A285" s="6">
        <v>282</v>
      </c>
      <c r="B285" s="7" t="s">
        <v>434</v>
      </c>
      <c r="C285" s="8">
        <v>25.2</v>
      </c>
      <c r="D285" s="8">
        <v>140</v>
      </c>
      <c r="E285" s="14" t="s">
        <v>1586</v>
      </c>
      <c r="F285" s="14" t="s">
        <v>1586</v>
      </c>
      <c r="G285" s="14" t="s">
        <v>1586</v>
      </c>
      <c r="H285" s="14" t="s">
        <v>1586</v>
      </c>
      <c r="I285" s="14" t="s">
        <v>1586</v>
      </c>
      <c r="J285" s="14" t="s">
        <v>1586</v>
      </c>
      <c r="K285" s="14" t="s">
        <v>1586</v>
      </c>
      <c r="L285" s="14" t="s">
        <v>1586</v>
      </c>
      <c r="M285" s="14" t="s">
        <v>1586</v>
      </c>
      <c r="N285" s="15">
        <v>1</v>
      </c>
      <c r="O285" s="15">
        <v>2</v>
      </c>
      <c r="P285" s="15">
        <v>1</v>
      </c>
      <c r="Q285" s="15">
        <v>1</v>
      </c>
      <c r="R285" s="14" t="s">
        <v>1586</v>
      </c>
    </row>
    <row r="286" spans="1:18" ht="14.25">
      <c r="A286" s="6">
        <v>283</v>
      </c>
      <c r="B286" s="7" t="s">
        <v>435</v>
      </c>
      <c r="C286" s="8">
        <v>55.6</v>
      </c>
      <c r="D286" s="8">
        <v>138.5</v>
      </c>
      <c r="E286" s="14" t="s">
        <v>1586</v>
      </c>
      <c r="F286" s="14" t="s">
        <v>1586</v>
      </c>
      <c r="G286" s="14" t="s">
        <v>1586</v>
      </c>
      <c r="H286" s="14" t="s">
        <v>1586</v>
      </c>
      <c r="I286" s="14" t="s">
        <v>1586</v>
      </c>
      <c r="J286" s="14" t="s">
        <v>1586</v>
      </c>
      <c r="K286" s="14" t="s">
        <v>1586</v>
      </c>
      <c r="L286" s="14" t="s">
        <v>1586</v>
      </c>
      <c r="M286" s="14" t="s">
        <v>1586</v>
      </c>
      <c r="N286" s="14" t="s">
        <v>1586</v>
      </c>
      <c r="O286" s="15">
        <v>2</v>
      </c>
      <c r="P286" s="14" t="s">
        <v>1586</v>
      </c>
      <c r="Q286" s="15">
        <v>1</v>
      </c>
      <c r="R286" s="14" t="s">
        <v>1586</v>
      </c>
    </row>
    <row r="287" spans="1:18" ht="14.25">
      <c r="A287" s="6">
        <v>284</v>
      </c>
      <c r="B287" s="7" t="s">
        <v>436</v>
      </c>
      <c r="C287" s="8">
        <v>131.5</v>
      </c>
      <c r="D287" s="8">
        <v>131.5</v>
      </c>
      <c r="E287" s="14" t="s">
        <v>1586</v>
      </c>
      <c r="F287" s="14" t="s">
        <v>1586</v>
      </c>
      <c r="G287" s="14" t="s">
        <v>1586</v>
      </c>
      <c r="H287" s="14" t="s">
        <v>1586</v>
      </c>
      <c r="I287" s="14" t="s">
        <v>1586</v>
      </c>
      <c r="J287" s="14" t="s">
        <v>1586</v>
      </c>
      <c r="K287" s="14" t="s">
        <v>1586</v>
      </c>
      <c r="L287" s="14" t="s">
        <v>1586</v>
      </c>
      <c r="M287" s="14" t="s">
        <v>1586</v>
      </c>
      <c r="N287" s="14" t="s">
        <v>1586</v>
      </c>
      <c r="O287" s="14" t="s">
        <v>1586</v>
      </c>
      <c r="P287" s="15">
        <v>1</v>
      </c>
      <c r="Q287" s="14" t="s">
        <v>1586</v>
      </c>
      <c r="R287" s="14" t="s">
        <v>1586</v>
      </c>
    </row>
    <row r="288" spans="1:18" ht="14.25">
      <c r="A288" s="6">
        <v>285</v>
      </c>
      <c r="B288" s="7" t="s">
        <v>437</v>
      </c>
      <c r="C288" s="8">
        <v>130</v>
      </c>
      <c r="D288" s="8">
        <v>130</v>
      </c>
      <c r="E288" s="14" t="s">
        <v>1586</v>
      </c>
      <c r="F288" s="14" t="s">
        <v>1586</v>
      </c>
      <c r="G288" s="14" t="s">
        <v>1586</v>
      </c>
      <c r="H288" s="14" t="s">
        <v>1586</v>
      </c>
      <c r="I288" s="14" t="s">
        <v>1586</v>
      </c>
      <c r="J288" s="14" t="s">
        <v>1586</v>
      </c>
      <c r="K288" s="14" t="s">
        <v>1586</v>
      </c>
      <c r="L288" s="14" t="s">
        <v>1586</v>
      </c>
      <c r="M288" s="14" t="s">
        <v>1586</v>
      </c>
      <c r="N288" s="14" t="s">
        <v>1586</v>
      </c>
      <c r="O288" s="14" t="s">
        <v>1586</v>
      </c>
      <c r="P288" s="15">
        <v>1</v>
      </c>
      <c r="Q288" s="14" t="s">
        <v>1586</v>
      </c>
      <c r="R288" s="14" t="s">
        <v>1586</v>
      </c>
    </row>
    <row r="289" spans="1:18" ht="14.25">
      <c r="A289" s="6">
        <v>286</v>
      </c>
      <c r="B289" s="7" t="s">
        <v>438</v>
      </c>
      <c r="C289" s="8">
        <v>21</v>
      </c>
      <c r="D289" s="8">
        <v>129.5</v>
      </c>
      <c r="E289" s="14" t="s">
        <v>1586</v>
      </c>
      <c r="F289" s="14" t="s">
        <v>1586</v>
      </c>
      <c r="G289" s="14" t="s">
        <v>1586</v>
      </c>
      <c r="H289" s="14" t="s">
        <v>1586</v>
      </c>
      <c r="I289" s="14" t="s">
        <v>1586</v>
      </c>
      <c r="J289" s="14" t="s">
        <v>1586</v>
      </c>
      <c r="K289" s="14" t="s">
        <v>1586</v>
      </c>
      <c r="L289" s="14" t="s">
        <v>1586</v>
      </c>
      <c r="M289" s="14" t="s">
        <v>1586</v>
      </c>
      <c r="N289" s="14" t="s">
        <v>1586</v>
      </c>
      <c r="O289" s="14" t="s">
        <v>1586</v>
      </c>
      <c r="P289" s="14" t="s">
        <v>1586</v>
      </c>
      <c r="Q289" s="14" t="s">
        <v>1586</v>
      </c>
      <c r="R289" s="15">
        <v>4</v>
      </c>
    </row>
    <row r="290" spans="1:18" ht="14.25">
      <c r="A290" s="6">
        <v>287</v>
      </c>
      <c r="B290" s="7" t="s">
        <v>439</v>
      </c>
      <c r="C290" s="8">
        <v>127.5</v>
      </c>
      <c r="D290" s="8">
        <v>127.5</v>
      </c>
      <c r="E290" s="14" t="s">
        <v>1586</v>
      </c>
      <c r="F290" s="14" t="s">
        <v>1586</v>
      </c>
      <c r="G290" s="14" t="s">
        <v>1586</v>
      </c>
      <c r="H290" s="14" t="s">
        <v>1586</v>
      </c>
      <c r="I290" s="14" t="s">
        <v>1586</v>
      </c>
      <c r="J290" s="14" t="s">
        <v>1586</v>
      </c>
      <c r="K290" s="14" t="s">
        <v>1586</v>
      </c>
      <c r="L290" s="14" t="s">
        <v>1586</v>
      </c>
      <c r="M290" s="14" t="s">
        <v>1586</v>
      </c>
      <c r="N290" s="14" t="s">
        <v>1586</v>
      </c>
      <c r="O290" s="15">
        <v>1</v>
      </c>
      <c r="P290" s="14" t="s">
        <v>1586</v>
      </c>
      <c r="Q290" s="14" t="s">
        <v>1586</v>
      </c>
      <c r="R290" s="14" t="s">
        <v>1586</v>
      </c>
    </row>
    <row r="291" spans="1:18" ht="14.25">
      <c r="A291" s="6">
        <v>288</v>
      </c>
      <c r="B291" s="7" t="s">
        <v>440</v>
      </c>
      <c r="C291" s="8">
        <v>125.5</v>
      </c>
      <c r="D291" s="8">
        <v>125.5</v>
      </c>
      <c r="E291" s="14" t="s">
        <v>1586</v>
      </c>
      <c r="F291" s="14" t="s">
        <v>1586</v>
      </c>
      <c r="G291" s="14" t="s">
        <v>1586</v>
      </c>
      <c r="H291" s="14" t="s">
        <v>1586</v>
      </c>
      <c r="I291" s="14" t="s">
        <v>1586</v>
      </c>
      <c r="J291" s="14" t="s">
        <v>1586</v>
      </c>
      <c r="K291" s="14" t="s">
        <v>1586</v>
      </c>
      <c r="L291" s="14" t="s">
        <v>1586</v>
      </c>
      <c r="M291" s="14" t="s">
        <v>1586</v>
      </c>
      <c r="N291" s="14" t="s">
        <v>1586</v>
      </c>
      <c r="O291" s="14" t="s">
        <v>1586</v>
      </c>
      <c r="P291" s="15">
        <v>1</v>
      </c>
      <c r="Q291" s="14" t="s">
        <v>1586</v>
      </c>
      <c r="R291" s="14" t="s">
        <v>1586</v>
      </c>
    </row>
    <row r="292" spans="1:18" ht="14.25">
      <c r="A292" s="6">
        <v>289</v>
      </c>
      <c r="B292" s="7" t="s">
        <v>441</v>
      </c>
      <c r="C292" s="8">
        <v>125.5</v>
      </c>
      <c r="D292" s="8">
        <v>125.5</v>
      </c>
      <c r="E292" s="14" t="s">
        <v>1586</v>
      </c>
      <c r="F292" s="14" t="s">
        <v>1586</v>
      </c>
      <c r="G292" s="14" t="s">
        <v>1586</v>
      </c>
      <c r="H292" s="14" t="s">
        <v>1586</v>
      </c>
      <c r="I292" s="14" t="s">
        <v>1586</v>
      </c>
      <c r="J292" s="14" t="s">
        <v>1586</v>
      </c>
      <c r="K292" s="14" t="s">
        <v>1586</v>
      </c>
      <c r="L292" s="14" t="s">
        <v>1586</v>
      </c>
      <c r="M292" s="14" t="s">
        <v>1586</v>
      </c>
      <c r="N292" s="14" t="s">
        <v>1586</v>
      </c>
      <c r="O292" s="14" t="s">
        <v>1586</v>
      </c>
      <c r="P292" s="15">
        <v>1</v>
      </c>
      <c r="Q292" s="14" t="s">
        <v>1586</v>
      </c>
      <c r="R292" s="14" t="s">
        <v>1586</v>
      </c>
    </row>
    <row r="293" spans="1:18" ht="14.25">
      <c r="A293" s="6">
        <v>290</v>
      </c>
      <c r="B293" s="7" t="s">
        <v>442</v>
      </c>
      <c r="C293" s="8">
        <v>120</v>
      </c>
      <c r="D293" s="8">
        <v>120</v>
      </c>
      <c r="E293" s="14" t="s">
        <v>1586</v>
      </c>
      <c r="F293" s="14" t="s">
        <v>1586</v>
      </c>
      <c r="G293" s="14" t="s">
        <v>1586</v>
      </c>
      <c r="H293" s="14" t="s">
        <v>1586</v>
      </c>
      <c r="I293" s="14" t="s">
        <v>1586</v>
      </c>
      <c r="J293" s="14" t="s">
        <v>1586</v>
      </c>
      <c r="K293" s="14" t="s">
        <v>1586</v>
      </c>
      <c r="L293" s="14" t="s">
        <v>1586</v>
      </c>
      <c r="M293" s="14" t="s">
        <v>1586</v>
      </c>
      <c r="N293" s="14" t="s">
        <v>1586</v>
      </c>
      <c r="O293" s="15">
        <v>1</v>
      </c>
      <c r="P293" s="14" t="s">
        <v>1586</v>
      </c>
      <c r="Q293" s="14" t="s">
        <v>1586</v>
      </c>
      <c r="R293" s="14" t="s">
        <v>1586</v>
      </c>
    </row>
    <row r="294" spans="1:18" ht="14.25">
      <c r="A294" s="6">
        <v>291</v>
      </c>
      <c r="B294" s="7" t="s">
        <v>443</v>
      </c>
      <c r="C294" s="8">
        <v>118.5</v>
      </c>
      <c r="D294" s="8">
        <v>118.5</v>
      </c>
      <c r="E294" s="14" t="s">
        <v>1586</v>
      </c>
      <c r="F294" s="14" t="s">
        <v>1586</v>
      </c>
      <c r="G294" s="14" t="s">
        <v>1586</v>
      </c>
      <c r="H294" s="14" t="s">
        <v>1586</v>
      </c>
      <c r="I294" s="14" t="s">
        <v>1586</v>
      </c>
      <c r="J294" s="14" t="s">
        <v>1586</v>
      </c>
      <c r="K294" s="14" t="s">
        <v>1586</v>
      </c>
      <c r="L294" s="14" t="s">
        <v>1586</v>
      </c>
      <c r="M294" s="14" t="s">
        <v>1586</v>
      </c>
      <c r="N294" s="14" t="s">
        <v>1586</v>
      </c>
      <c r="O294" s="14" t="s">
        <v>1586</v>
      </c>
      <c r="P294" s="14" t="s">
        <v>1586</v>
      </c>
      <c r="Q294" s="15">
        <v>1</v>
      </c>
      <c r="R294" s="14" t="s">
        <v>1586</v>
      </c>
    </row>
    <row r="295" spans="1:18" ht="14.25">
      <c r="A295" s="6">
        <v>292</v>
      </c>
      <c r="B295" s="7" t="s">
        <v>444</v>
      </c>
      <c r="C295" s="8">
        <v>118.5</v>
      </c>
      <c r="D295" s="8">
        <v>118.5</v>
      </c>
      <c r="E295" s="14" t="s">
        <v>1586</v>
      </c>
      <c r="F295" s="14" t="s">
        <v>1586</v>
      </c>
      <c r="G295" s="14" t="s">
        <v>1586</v>
      </c>
      <c r="H295" s="14" t="s">
        <v>1586</v>
      </c>
      <c r="I295" s="14" t="s">
        <v>1586</v>
      </c>
      <c r="J295" s="14" t="s">
        <v>1586</v>
      </c>
      <c r="K295" s="14" t="s">
        <v>1586</v>
      </c>
      <c r="L295" s="14" t="s">
        <v>1586</v>
      </c>
      <c r="M295" s="14" t="s">
        <v>1586</v>
      </c>
      <c r="N295" s="14" t="s">
        <v>1586</v>
      </c>
      <c r="O295" s="14" t="s">
        <v>1586</v>
      </c>
      <c r="P295" s="14" t="s">
        <v>1586</v>
      </c>
      <c r="Q295" s="15">
        <v>1</v>
      </c>
      <c r="R295" s="14" t="s">
        <v>1586</v>
      </c>
    </row>
    <row r="296" spans="1:18" ht="14.25">
      <c r="A296" s="6">
        <v>293</v>
      </c>
      <c r="B296" s="7" t="s">
        <v>445</v>
      </c>
      <c r="C296" s="8">
        <v>113</v>
      </c>
      <c r="D296" s="8">
        <v>113</v>
      </c>
      <c r="E296" s="14" t="s">
        <v>1586</v>
      </c>
      <c r="F296" s="14" t="s">
        <v>1586</v>
      </c>
      <c r="G296" s="14" t="s">
        <v>1586</v>
      </c>
      <c r="H296" s="14" t="s">
        <v>1586</v>
      </c>
      <c r="I296" s="14" t="s">
        <v>1586</v>
      </c>
      <c r="J296" s="14" t="s">
        <v>1586</v>
      </c>
      <c r="K296" s="14" t="s">
        <v>1586</v>
      </c>
      <c r="L296" s="14" t="s">
        <v>1586</v>
      </c>
      <c r="M296" s="14" t="s">
        <v>1586</v>
      </c>
      <c r="N296" s="14" t="s">
        <v>1586</v>
      </c>
      <c r="O296" s="14" t="s">
        <v>1586</v>
      </c>
      <c r="P296" s="14" t="s">
        <v>1586</v>
      </c>
      <c r="Q296" s="14" t="s">
        <v>1586</v>
      </c>
      <c r="R296" s="15">
        <v>1</v>
      </c>
    </row>
    <row r="297" spans="1:18" ht="14.25">
      <c r="A297" s="6">
        <v>294</v>
      </c>
      <c r="B297" s="7" t="s">
        <v>446</v>
      </c>
      <c r="C297" s="8">
        <v>20</v>
      </c>
      <c r="D297" s="8">
        <v>110.1</v>
      </c>
      <c r="E297" s="14" t="s">
        <v>1586</v>
      </c>
      <c r="F297" s="14" t="s">
        <v>1586</v>
      </c>
      <c r="G297" s="14" t="s">
        <v>1586</v>
      </c>
      <c r="H297" s="14" t="s">
        <v>1586</v>
      </c>
      <c r="I297" s="14" t="s">
        <v>1586</v>
      </c>
      <c r="J297" s="14" t="s">
        <v>1586</v>
      </c>
      <c r="K297" s="14" t="s">
        <v>1586</v>
      </c>
      <c r="L297" s="14" t="s">
        <v>1586</v>
      </c>
      <c r="M297" s="14" t="s">
        <v>1586</v>
      </c>
      <c r="N297" s="14" t="s">
        <v>1586</v>
      </c>
      <c r="O297" s="14" t="s">
        <v>1586</v>
      </c>
      <c r="P297" s="15">
        <v>1</v>
      </c>
      <c r="Q297" s="15">
        <v>1</v>
      </c>
      <c r="R297" s="15">
        <v>1</v>
      </c>
    </row>
    <row r="298" spans="1:18" ht="14.25">
      <c r="A298" s="6">
        <v>295</v>
      </c>
      <c r="B298" s="7" t="s">
        <v>447</v>
      </c>
      <c r="C298" s="8">
        <v>77.099999999999994</v>
      </c>
      <c r="D298" s="8">
        <v>110</v>
      </c>
      <c r="E298" s="14" t="s">
        <v>1586</v>
      </c>
      <c r="F298" s="14" t="s">
        <v>1586</v>
      </c>
      <c r="G298" s="14" t="s">
        <v>1586</v>
      </c>
      <c r="H298" s="14" t="s">
        <v>1586</v>
      </c>
      <c r="I298" s="14" t="s">
        <v>1586</v>
      </c>
      <c r="J298" s="14" t="s">
        <v>1586</v>
      </c>
      <c r="K298" s="14" t="s">
        <v>1586</v>
      </c>
      <c r="L298" s="14" t="s">
        <v>1586</v>
      </c>
      <c r="M298" s="14" t="s">
        <v>1586</v>
      </c>
      <c r="N298" s="14" t="s">
        <v>1586</v>
      </c>
      <c r="O298" s="14" t="s">
        <v>1586</v>
      </c>
      <c r="P298" s="15">
        <v>1</v>
      </c>
      <c r="Q298" s="15">
        <v>1</v>
      </c>
      <c r="R298" s="14" t="s">
        <v>1586</v>
      </c>
    </row>
    <row r="299" spans="1:18" ht="14.25">
      <c r="A299" s="6">
        <v>296</v>
      </c>
      <c r="B299" s="7" t="s">
        <v>448</v>
      </c>
      <c r="C299" s="8">
        <v>109.5</v>
      </c>
      <c r="D299" s="8">
        <v>109.5</v>
      </c>
      <c r="E299" s="14" t="s">
        <v>1586</v>
      </c>
      <c r="F299" s="14" t="s">
        <v>1586</v>
      </c>
      <c r="G299" s="14" t="s">
        <v>1586</v>
      </c>
      <c r="H299" s="14" t="s">
        <v>1586</v>
      </c>
      <c r="I299" s="14" t="s">
        <v>1586</v>
      </c>
      <c r="J299" s="14" t="s">
        <v>1586</v>
      </c>
      <c r="K299" s="14" t="s">
        <v>1586</v>
      </c>
      <c r="L299" s="14" t="s">
        <v>1586</v>
      </c>
      <c r="M299" s="14" t="s">
        <v>1586</v>
      </c>
      <c r="N299" s="14" t="s">
        <v>1586</v>
      </c>
      <c r="O299" s="15">
        <v>1</v>
      </c>
      <c r="P299" s="14" t="s">
        <v>1586</v>
      </c>
      <c r="Q299" s="14" t="s">
        <v>1586</v>
      </c>
      <c r="R299" s="14" t="s">
        <v>1586</v>
      </c>
    </row>
    <row r="300" spans="1:18" ht="14.25">
      <c r="A300" s="6">
        <v>297</v>
      </c>
      <c r="B300" s="7" t="s">
        <v>449</v>
      </c>
      <c r="C300" s="8">
        <v>27.6</v>
      </c>
      <c r="D300" s="8">
        <v>108.6</v>
      </c>
      <c r="E300" s="14" t="s">
        <v>1586</v>
      </c>
      <c r="F300" s="14" t="s">
        <v>1586</v>
      </c>
      <c r="G300" s="14" t="s">
        <v>1586</v>
      </c>
      <c r="H300" s="14" t="s">
        <v>1586</v>
      </c>
      <c r="I300" s="14" t="s">
        <v>1586</v>
      </c>
      <c r="J300" s="14" t="s">
        <v>1586</v>
      </c>
      <c r="K300" s="14" t="s">
        <v>1586</v>
      </c>
      <c r="L300" s="14" t="s">
        <v>1586</v>
      </c>
      <c r="M300" s="14" t="s">
        <v>1586</v>
      </c>
      <c r="N300" s="14" t="s">
        <v>1586</v>
      </c>
      <c r="O300" s="15">
        <v>2</v>
      </c>
      <c r="P300" s="14" t="s">
        <v>1586</v>
      </c>
      <c r="Q300" s="14" t="s">
        <v>1586</v>
      </c>
      <c r="R300" s="14" t="s">
        <v>1586</v>
      </c>
    </row>
    <row r="301" spans="1:18" ht="14.25">
      <c r="A301" s="6">
        <v>298</v>
      </c>
      <c r="B301" s="7" t="s">
        <v>450</v>
      </c>
      <c r="C301" s="8">
        <v>27.6</v>
      </c>
      <c r="D301" s="8">
        <v>108.6</v>
      </c>
      <c r="E301" s="14" t="s">
        <v>1586</v>
      </c>
      <c r="F301" s="14" t="s">
        <v>1586</v>
      </c>
      <c r="G301" s="14" t="s">
        <v>1586</v>
      </c>
      <c r="H301" s="14" t="s">
        <v>1586</v>
      </c>
      <c r="I301" s="14" t="s">
        <v>1586</v>
      </c>
      <c r="J301" s="14" t="s">
        <v>1586</v>
      </c>
      <c r="K301" s="14" t="s">
        <v>1586</v>
      </c>
      <c r="L301" s="14" t="s">
        <v>1586</v>
      </c>
      <c r="M301" s="14" t="s">
        <v>1586</v>
      </c>
      <c r="N301" s="14" t="s">
        <v>1586</v>
      </c>
      <c r="O301" s="15">
        <v>2</v>
      </c>
      <c r="P301" s="14" t="s">
        <v>1586</v>
      </c>
      <c r="Q301" s="14" t="s">
        <v>1586</v>
      </c>
      <c r="R301" s="14" t="s">
        <v>1586</v>
      </c>
    </row>
    <row r="302" spans="1:18" ht="14.25">
      <c r="A302" s="6">
        <v>299</v>
      </c>
      <c r="B302" s="7" t="s">
        <v>451</v>
      </c>
      <c r="C302" s="8">
        <v>101</v>
      </c>
      <c r="D302" s="8">
        <v>108.5</v>
      </c>
      <c r="E302" s="14" t="s">
        <v>1586</v>
      </c>
      <c r="F302" s="14" t="s">
        <v>1586</v>
      </c>
      <c r="G302" s="14" t="s">
        <v>1586</v>
      </c>
      <c r="H302" s="14" t="s">
        <v>1586</v>
      </c>
      <c r="I302" s="14" t="s">
        <v>1586</v>
      </c>
      <c r="J302" s="14" t="s">
        <v>1586</v>
      </c>
      <c r="K302" s="14" t="s">
        <v>1586</v>
      </c>
      <c r="L302" s="14" t="s">
        <v>1586</v>
      </c>
      <c r="M302" s="14" t="s">
        <v>1586</v>
      </c>
      <c r="N302" s="14" t="s">
        <v>1586</v>
      </c>
      <c r="O302" s="15">
        <v>1</v>
      </c>
      <c r="P302" s="15">
        <v>1</v>
      </c>
      <c r="Q302" s="14" t="s">
        <v>1586</v>
      </c>
      <c r="R302" s="14" t="s">
        <v>1586</v>
      </c>
    </row>
    <row r="303" spans="1:18" ht="14.25">
      <c r="A303" s="6">
        <v>300</v>
      </c>
      <c r="B303" s="7" t="s">
        <v>452</v>
      </c>
      <c r="C303" s="8">
        <v>108.1</v>
      </c>
      <c r="D303" s="8">
        <v>108.1</v>
      </c>
      <c r="E303" s="14" t="s">
        <v>1586</v>
      </c>
      <c r="F303" s="14" t="s">
        <v>1586</v>
      </c>
      <c r="G303" s="14" t="s">
        <v>1586</v>
      </c>
      <c r="H303" s="14" t="s">
        <v>1586</v>
      </c>
      <c r="I303" s="14" t="s">
        <v>1586</v>
      </c>
      <c r="J303" s="14" t="s">
        <v>1586</v>
      </c>
      <c r="K303" s="14" t="s">
        <v>1586</v>
      </c>
      <c r="L303" s="14" t="s">
        <v>1586</v>
      </c>
      <c r="M303" s="14" t="s">
        <v>1586</v>
      </c>
      <c r="N303" s="14" t="s">
        <v>1586</v>
      </c>
      <c r="O303" s="14" t="s">
        <v>1586</v>
      </c>
      <c r="P303" s="14" t="s">
        <v>1586</v>
      </c>
      <c r="Q303" s="15">
        <v>1</v>
      </c>
      <c r="R303" s="14" t="s">
        <v>1586</v>
      </c>
    </row>
    <row r="304" spans="1:18" ht="14.25">
      <c r="A304" s="6">
        <v>301</v>
      </c>
      <c r="B304" s="7" t="s">
        <v>453</v>
      </c>
      <c r="C304" s="8">
        <v>106.5</v>
      </c>
      <c r="D304" s="8">
        <v>106.5</v>
      </c>
      <c r="E304" s="14" t="s">
        <v>1586</v>
      </c>
      <c r="F304" s="14" t="s">
        <v>1586</v>
      </c>
      <c r="G304" s="14" t="s">
        <v>1586</v>
      </c>
      <c r="H304" s="14" t="s">
        <v>1586</v>
      </c>
      <c r="I304" s="14" t="s">
        <v>1586</v>
      </c>
      <c r="J304" s="14" t="s">
        <v>1586</v>
      </c>
      <c r="K304" s="14" t="s">
        <v>1586</v>
      </c>
      <c r="L304" s="14" t="s">
        <v>1586</v>
      </c>
      <c r="M304" s="14" t="s">
        <v>1586</v>
      </c>
      <c r="N304" s="14" t="s">
        <v>1586</v>
      </c>
      <c r="O304" s="14" t="s">
        <v>1586</v>
      </c>
      <c r="P304" s="15">
        <v>1</v>
      </c>
      <c r="Q304" s="14" t="s">
        <v>1586</v>
      </c>
      <c r="R304" s="14" t="s">
        <v>1586</v>
      </c>
    </row>
    <row r="305" spans="1:18" ht="14.25">
      <c r="A305" s="6">
        <v>302</v>
      </c>
      <c r="B305" s="7" t="s">
        <v>454</v>
      </c>
      <c r="C305" s="8">
        <v>100</v>
      </c>
      <c r="D305" s="8">
        <v>106.5</v>
      </c>
      <c r="E305" s="14" t="s">
        <v>1586</v>
      </c>
      <c r="F305" s="14" t="s">
        <v>1586</v>
      </c>
      <c r="G305" s="14" t="s">
        <v>1586</v>
      </c>
      <c r="H305" s="14" t="s">
        <v>1586</v>
      </c>
      <c r="I305" s="14" t="s">
        <v>1586</v>
      </c>
      <c r="J305" s="14" t="s">
        <v>1586</v>
      </c>
      <c r="K305" s="14" t="s">
        <v>1586</v>
      </c>
      <c r="L305" s="14" t="s">
        <v>1586</v>
      </c>
      <c r="M305" s="14" t="s">
        <v>1586</v>
      </c>
      <c r="N305" s="15">
        <v>1</v>
      </c>
      <c r="O305" s="14" t="s">
        <v>1586</v>
      </c>
      <c r="P305" s="15">
        <v>1</v>
      </c>
      <c r="Q305" s="14" t="s">
        <v>1586</v>
      </c>
      <c r="R305" s="14" t="s">
        <v>1586</v>
      </c>
    </row>
    <row r="306" spans="1:18" ht="14.25">
      <c r="A306" s="6">
        <v>303</v>
      </c>
      <c r="B306" s="7" t="s">
        <v>455</v>
      </c>
      <c r="C306" s="8">
        <v>17</v>
      </c>
      <c r="D306" s="8">
        <v>106.4</v>
      </c>
      <c r="E306" s="14" t="s">
        <v>1586</v>
      </c>
      <c r="F306" s="14" t="s">
        <v>1586</v>
      </c>
      <c r="G306" s="14" t="s">
        <v>1586</v>
      </c>
      <c r="H306" s="14" t="s">
        <v>1586</v>
      </c>
      <c r="I306" s="14" t="s">
        <v>1586</v>
      </c>
      <c r="J306" s="14" t="s">
        <v>1586</v>
      </c>
      <c r="K306" s="14" t="s">
        <v>1586</v>
      </c>
      <c r="L306" s="15">
        <v>2</v>
      </c>
      <c r="M306" s="15">
        <v>3</v>
      </c>
      <c r="N306" s="14" t="s">
        <v>1586</v>
      </c>
      <c r="O306" s="15">
        <v>1</v>
      </c>
      <c r="P306" s="14" t="s">
        <v>1586</v>
      </c>
      <c r="Q306" s="14" t="s">
        <v>1586</v>
      </c>
      <c r="R306" s="14" t="s">
        <v>1586</v>
      </c>
    </row>
    <row r="307" spans="1:18" ht="14.25">
      <c r="A307" s="6">
        <v>304</v>
      </c>
      <c r="B307" s="7" t="s">
        <v>456</v>
      </c>
      <c r="C307" s="8">
        <v>105</v>
      </c>
      <c r="D307" s="8">
        <v>105.5</v>
      </c>
      <c r="E307" s="14" t="s">
        <v>1586</v>
      </c>
      <c r="F307" s="14" t="s">
        <v>1586</v>
      </c>
      <c r="G307" s="14" t="s">
        <v>1586</v>
      </c>
      <c r="H307" s="14" t="s">
        <v>1586</v>
      </c>
      <c r="I307" s="14" t="s">
        <v>1586</v>
      </c>
      <c r="J307" s="14" t="s">
        <v>1586</v>
      </c>
      <c r="K307" s="14" t="s">
        <v>1586</v>
      </c>
      <c r="L307" s="14" t="s">
        <v>1586</v>
      </c>
      <c r="M307" s="15">
        <v>1</v>
      </c>
      <c r="N307" s="14" t="s">
        <v>1586</v>
      </c>
      <c r="O307" s="14" t="s">
        <v>1586</v>
      </c>
      <c r="P307" s="15">
        <v>1</v>
      </c>
      <c r="Q307" s="14" t="s">
        <v>1586</v>
      </c>
      <c r="R307" s="14" t="s">
        <v>1586</v>
      </c>
    </row>
    <row r="308" spans="1:18" ht="14.25">
      <c r="A308" s="6">
        <v>305</v>
      </c>
      <c r="B308" s="7" t="s">
        <v>457</v>
      </c>
      <c r="C308" s="8">
        <v>31.5</v>
      </c>
      <c r="D308" s="8">
        <v>105</v>
      </c>
      <c r="E308" s="14" t="s">
        <v>1586</v>
      </c>
      <c r="F308" s="14" t="s">
        <v>1586</v>
      </c>
      <c r="G308" s="14" t="s">
        <v>1586</v>
      </c>
      <c r="H308" s="14" t="s">
        <v>1586</v>
      </c>
      <c r="I308" s="14" t="s">
        <v>1586</v>
      </c>
      <c r="J308" s="14" t="s">
        <v>1586</v>
      </c>
      <c r="K308" s="14" t="s">
        <v>1586</v>
      </c>
      <c r="L308" s="14" t="s">
        <v>1586</v>
      </c>
      <c r="M308" s="14" t="s">
        <v>1586</v>
      </c>
      <c r="N308" s="15">
        <v>1</v>
      </c>
      <c r="O308" s="15">
        <v>1</v>
      </c>
      <c r="P308" s="15">
        <v>2</v>
      </c>
      <c r="Q308" s="14" t="s">
        <v>1586</v>
      </c>
      <c r="R308" s="14" t="s">
        <v>1586</v>
      </c>
    </row>
    <row r="309" spans="1:18" ht="14.25">
      <c r="A309" s="6">
        <v>306</v>
      </c>
      <c r="B309" s="7" t="s">
        <v>458</v>
      </c>
      <c r="C309" s="8">
        <v>102.5</v>
      </c>
      <c r="D309" s="8">
        <v>102.5</v>
      </c>
      <c r="E309" s="14" t="s">
        <v>1586</v>
      </c>
      <c r="F309" s="14" t="s">
        <v>1586</v>
      </c>
      <c r="G309" s="14" t="s">
        <v>1586</v>
      </c>
      <c r="H309" s="14" t="s">
        <v>1586</v>
      </c>
      <c r="I309" s="14" t="s">
        <v>1586</v>
      </c>
      <c r="J309" s="14" t="s">
        <v>1586</v>
      </c>
      <c r="K309" s="14" t="s">
        <v>1586</v>
      </c>
      <c r="L309" s="14" t="s">
        <v>1586</v>
      </c>
      <c r="M309" s="14" t="s">
        <v>1586</v>
      </c>
      <c r="N309" s="14" t="s">
        <v>1586</v>
      </c>
      <c r="O309" s="14" t="s">
        <v>1586</v>
      </c>
      <c r="P309" s="15">
        <v>1</v>
      </c>
      <c r="Q309" s="14" t="s">
        <v>1586</v>
      </c>
      <c r="R309" s="14" t="s">
        <v>1586</v>
      </c>
    </row>
    <row r="310" spans="1:18" ht="14.25">
      <c r="A310" s="6">
        <v>307</v>
      </c>
      <c r="B310" s="7" t="s">
        <v>459</v>
      </c>
      <c r="C310" s="8">
        <v>102.5</v>
      </c>
      <c r="D310" s="8">
        <v>102.5</v>
      </c>
      <c r="E310" s="14" t="s">
        <v>1586</v>
      </c>
      <c r="F310" s="14" t="s">
        <v>1586</v>
      </c>
      <c r="G310" s="14" t="s">
        <v>1586</v>
      </c>
      <c r="H310" s="14" t="s">
        <v>1586</v>
      </c>
      <c r="I310" s="14" t="s">
        <v>1586</v>
      </c>
      <c r="J310" s="14" t="s">
        <v>1586</v>
      </c>
      <c r="K310" s="14" t="s">
        <v>1586</v>
      </c>
      <c r="L310" s="14" t="s">
        <v>1586</v>
      </c>
      <c r="M310" s="14" t="s">
        <v>1586</v>
      </c>
      <c r="N310" s="14" t="s">
        <v>1586</v>
      </c>
      <c r="O310" s="14" t="s">
        <v>1586</v>
      </c>
      <c r="P310" s="15">
        <v>1</v>
      </c>
      <c r="Q310" s="14" t="s">
        <v>1586</v>
      </c>
      <c r="R310" s="14" t="s">
        <v>1586</v>
      </c>
    </row>
    <row r="311" spans="1:18" ht="14.25">
      <c r="A311" s="6">
        <v>308</v>
      </c>
      <c r="B311" s="7" t="s">
        <v>460</v>
      </c>
      <c r="C311" s="8">
        <v>101.5</v>
      </c>
      <c r="D311" s="8">
        <v>101.5</v>
      </c>
      <c r="E311" s="14" t="s">
        <v>1586</v>
      </c>
      <c r="F311" s="14" t="s">
        <v>1586</v>
      </c>
      <c r="G311" s="14" t="s">
        <v>1586</v>
      </c>
      <c r="H311" s="14" t="s">
        <v>1586</v>
      </c>
      <c r="I311" s="14" t="s">
        <v>1586</v>
      </c>
      <c r="J311" s="14" t="s">
        <v>1586</v>
      </c>
      <c r="K311" s="14" t="s">
        <v>1586</v>
      </c>
      <c r="L311" s="14" t="s">
        <v>1586</v>
      </c>
      <c r="M311" s="14" t="s">
        <v>1586</v>
      </c>
      <c r="N311" s="14" t="s">
        <v>1586</v>
      </c>
      <c r="O311" s="14" t="s">
        <v>1586</v>
      </c>
      <c r="P311" s="14" t="s">
        <v>1586</v>
      </c>
      <c r="Q311" s="15">
        <v>1</v>
      </c>
      <c r="R311" s="14" t="s">
        <v>1586</v>
      </c>
    </row>
    <row r="312" spans="1:18" ht="14.25">
      <c r="A312" s="6">
        <v>309</v>
      </c>
      <c r="B312" s="7" t="s">
        <v>461</v>
      </c>
      <c r="C312" s="8">
        <v>16.100000000000001</v>
      </c>
      <c r="D312" s="8">
        <v>101.5</v>
      </c>
      <c r="E312" s="14" t="s">
        <v>1586</v>
      </c>
      <c r="F312" s="14" t="s">
        <v>1586</v>
      </c>
      <c r="G312" s="14" t="s">
        <v>1586</v>
      </c>
      <c r="H312" s="14" t="s">
        <v>1586</v>
      </c>
      <c r="I312" s="14" t="s">
        <v>1586</v>
      </c>
      <c r="J312" s="14" t="s">
        <v>1586</v>
      </c>
      <c r="K312" s="14" t="s">
        <v>1586</v>
      </c>
      <c r="L312" s="14" t="s">
        <v>1586</v>
      </c>
      <c r="M312" s="14" t="s">
        <v>1586</v>
      </c>
      <c r="N312" s="14" t="s">
        <v>1586</v>
      </c>
      <c r="O312" s="15">
        <v>2</v>
      </c>
      <c r="P312" s="15">
        <v>1</v>
      </c>
      <c r="Q312" s="14" t="s">
        <v>1586</v>
      </c>
      <c r="R312" s="14" t="s">
        <v>1586</v>
      </c>
    </row>
    <row r="313" spans="1:18" ht="14.25">
      <c r="A313" s="6">
        <v>310</v>
      </c>
      <c r="B313" s="7" t="s">
        <v>462</v>
      </c>
      <c r="C313" s="8">
        <v>57.5</v>
      </c>
      <c r="D313" s="8">
        <v>101.5</v>
      </c>
      <c r="E313" s="14" t="s">
        <v>1586</v>
      </c>
      <c r="F313" s="14" t="s">
        <v>1586</v>
      </c>
      <c r="G313" s="14" t="s">
        <v>1586</v>
      </c>
      <c r="H313" s="14" t="s">
        <v>1586</v>
      </c>
      <c r="I313" s="14" t="s">
        <v>1586</v>
      </c>
      <c r="J313" s="14" t="s">
        <v>1586</v>
      </c>
      <c r="K313" s="14" t="s">
        <v>1586</v>
      </c>
      <c r="L313" s="15">
        <v>1</v>
      </c>
      <c r="M313" s="14" t="s">
        <v>1586</v>
      </c>
      <c r="N313" s="14" t="s">
        <v>1586</v>
      </c>
      <c r="O313" s="15">
        <v>1</v>
      </c>
      <c r="P313" s="14" t="s">
        <v>1586</v>
      </c>
      <c r="Q313" s="14" t="s">
        <v>1586</v>
      </c>
      <c r="R313" s="15">
        <v>1</v>
      </c>
    </row>
    <row r="314" spans="1:18" ht="14.25">
      <c r="A314" s="6">
        <v>311</v>
      </c>
      <c r="B314" s="7" t="s">
        <v>463</v>
      </c>
      <c r="C314" s="8">
        <v>101</v>
      </c>
      <c r="D314" s="8">
        <v>101</v>
      </c>
      <c r="E314" s="14" t="s">
        <v>1586</v>
      </c>
      <c r="F314" s="14" t="s">
        <v>1586</v>
      </c>
      <c r="G314" s="14" t="s">
        <v>1586</v>
      </c>
      <c r="H314" s="14" t="s">
        <v>1586</v>
      </c>
      <c r="I314" s="14" t="s">
        <v>1586</v>
      </c>
      <c r="J314" s="14" t="s">
        <v>1586</v>
      </c>
      <c r="K314" s="14" t="s">
        <v>1586</v>
      </c>
      <c r="L314" s="14" t="s">
        <v>1586</v>
      </c>
      <c r="M314" s="14" t="s">
        <v>1586</v>
      </c>
      <c r="N314" s="14" t="s">
        <v>1586</v>
      </c>
      <c r="O314" s="14" t="s">
        <v>1586</v>
      </c>
      <c r="P314" s="14" t="s">
        <v>1586</v>
      </c>
      <c r="Q314" s="14" t="s">
        <v>1586</v>
      </c>
      <c r="R314" s="15">
        <v>1</v>
      </c>
    </row>
    <row r="315" spans="1:18" ht="14.25">
      <c r="A315" s="6">
        <v>312</v>
      </c>
      <c r="B315" s="7" t="s">
        <v>464</v>
      </c>
      <c r="C315" s="8">
        <v>101</v>
      </c>
      <c r="D315" s="8">
        <v>101</v>
      </c>
      <c r="E315" s="14" t="s">
        <v>1586</v>
      </c>
      <c r="F315" s="14" t="s">
        <v>1586</v>
      </c>
      <c r="G315" s="14" t="s">
        <v>1586</v>
      </c>
      <c r="H315" s="14" t="s">
        <v>1586</v>
      </c>
      <c r="I315" s="14" t="s">
        <v>1586</v>
      </c>
      <c r="J315" s="14" t="s">
        <v>1586</v>
      </c>
      <c r="K315" s="14" t="s">
        <v>1586</v>
      </c>
      <c r="L315" s="14" t="s">
        <v>1586</v>
      </c>
      <c r="M315" s="14" t="s">
        <v>1586</v>
      </c>
      <c r="N315" s="14" t="s">
        <v>1586</v>
      </c>
      <c r="O315" s="14" t="s">
        <v>1586</v>
      </c>
      <c r="P315" s="14" t="s">
        <v>1586</v>
      </c>
      <c r="Q315" s="14" t="s">
        <v>1586</v>
      </c>
      <c r="R315" s="15">
        <v>1</v>
      </c>
    </row>
    <row r="316" spans="1:18" ht="14.25">
      <c r="A316" s="6">
        <v>313</v>
      </c>
      <c r="B316" s="7" t="s">
        <v>465</v>
      </c>
      <c r="C316" s="8">
        <v>101</v>
      </c>
      <c r="D316" s="8">
        <v>101</v>
      </c>
      <c r="E316" s="14" t="s">
        <v>1586</v>
      </c>
      <c r="F316" s="14" t="s">
        <v>1586</v>
      </c>
      <c r="G316" s="14" t="s">
        <v>1586</v>
      </c>
      <c r="H316" s="14" t="s">
        <v>1586</v>
      </c>
      <c r="I316" s="14" t="s">
        <v>1586</v>
      </c>
      <c r="J316" s="14" t="s">
        <v>1586</v>
      </c>
      <c r="K316" s="14" t="s">
        <v>1586</v>
      </c>
      <c r="L316" s="14" t="s">
        <v>1586</v>
      </c>
      <c r="M316" s="14" t="s">
        <v>1586</v>
      </c>
      <c r="N316" s="14" t="s">
        <v>1586</v>
      </c>
      <c r="O316" s="14" t="s">
        <v>1586</v>
      </c>
      <c r="P316" s="14" t="s">
        <v>1586</v>
      </c>
      <c r="Q316" s="14" t="s">
        <v>1586</v>
      </c>
      <c r="R316" s="15">
        <v>1</v>
      </c>
    </row>
    <row r="317" spans="1:18" ht="14.25">
      <c r="A317" s="6">
        <v>314</v>
      </c>
      <c r="B317" s="7" t="s">
        <v>466</v>
      </c>
      <c r="C317" s="8">
        <v>101</v>
      </c>
      <c r="D317" s="8">
        <v>101</v>
      </c>
      <c r="E317" s="14" t="s">
        <v>1586</v>
      </c>
      <c r="F317" s="14" t="s">
        <v>1586</v>
      </c>
      <c r="G317" s="14" t="s">
        <v>1586</v>
      </c>
      <c r="H317" s="14" t="s">
        <v>1586</v>
      </c>
      <c r="I317" s="14" t="s">
        <v>1586</v>
      </c>
      <c r="J317" s="14" t="s">
        <v>1586</v>
      </c>
      <c r="K317" s="14" t="s">
        <v>1586</v>
      </c>
      <c r="L317" s="14" t="s">
        <v>1586</v>
      </c>
      <c r="M317" s="14" t="s">
        <v>1586</v>
      </c>
      <c r="N317" s="14" t="s">
        <v>1586</v>
      </c>
      <c r="O317" s="15">
        <v>1</v>
      </c>
      <c r="P317" s="14" t="s">
        <v>1586</v>
      </c>
      <c r="Q317" s="14" t="s">
        <v>1586</v>
      </c>
      <c r="R317" s="14" t="s">
        <v>1586</v>
      </c>
    </row>
    <row r="318" spans="1:18" ht="14.25">
      <c r="A318" s="6">
        <v>315</v>
      </c>
      <c r="B318" s="7" t="s">
        <v>467</v>
      </c>
      <c r="C318" s="8">
        <v>100.1</v>
      </c>
      <c r="D318" s="8">
        <v>100.1</v>
      </c>
      <c r="E318" s="14" t="s">
        <v>1586</v>
      </c>
      <c r="F318" s="14" t="s">
        <v>1586</v>
      </c>
      <c r="G318" s="14" t="s">
        <v>1586</v>
      </c>
      <c r="H318" s="14" t="s">
        <v>1586</v>
      </c>
      <c r="I318" s="14" t="s">
        <v>1586</v>
      </c>
      <c r="J318" s="14" t="s">
        <v>1586</v>
      </c>
      <c r="K318" s="14" t="s">
        <v>1586</v>
      </c>
      <c r="L318" s="14" t="s">
        <v>1586</v>
      </c>
      <c r="M318" s="14" t="s">
        <v>1586</v>
      </c>
      <c r="N318" s="14" t="s">
        <v>1586</v>
      </c>
      <c r="O318" s="15">
        <v>1</v>
      </c>
      <c r="P318" s="14" t="s">
        <v>1586</v>
      </c>
      <c r="Q318" s="14" t="s">
        <v>1586</v>
      </c>
      <c r="R318" s="14" t="s">
        <v>1586</v>
      </c>
    </row>
    <row r="319" spans="1:18" ht="14.25">
      <c r="A319" s="6">
        <v>316</v>
      </c>
      <c r="B319" s="7" t="s">
        <v>468</v>
      </c>
      <c r="C319" s="8">
        <v>100</v>
      </c>
      <c r="D319" s="8">
        <v>100</v>
      </c>
      <c r="E319" s="14" t="s">
        <v>1586</v>
      </c>
      <c r="F319" s="14" t="s">
        <v>1586</v>
      </c>
      <c r="G319" s="14" t="s">
        <v>1586</v>
      </c>
      <c r="H319" s="14" t="s">
        <v>1586</v>
      </c>
      <c r="I319" s="14" t="s">
        <v>1586</v>
      </c>
      <c r="J319" s="14" t="s">
        <v>1586</v>
      </c>
      <c r="K319" s="14" t="s">
        <v>1586</v>
      </c>
      <c r="L319" s="14" t="s">
        <v>1586</v>
      </c>
      <c r="M319" s="14" t="s">
        <v>1586</v>
      </c>
      <c r="N319" s="14" t="s">
        <v>1586</v>
      </c>
      <c r="O319" s="14" t="s">
        <v>1586</v>
      </c>
      <c r="P319" s="14" t="s">
        <v>1586</v>
      </c>
      <c r="Q319" s="14" t="s">
        <v>1586</v>
      </c>
      <c r="R319" s="15">
        <v>1</v>
      </c>
    </row>
    <row r="320" spans="1:18" ht="14.25">
      <c r="A320" s="6">
        <v>317</v>
      </c>
      <c r="B320" s="7" t="s">
        <v>469</v>
      </c>
      <c r="C320" s="8">
        <v>10.5</v>
      </c>
      <c r="D320" s="8">
        <v>100</v>
      </c>
      <c r="E320" s="14" t="s">
        <v>1586</v>
      </c>
      <c r="F320" s="14" t="s">
        <v>1586</v>
      </c>
      <c r="G320" s="14" t="s">
        <v>1586</v>
      </c>
      <c r="H320" s="14" t="s">
        <v>1586</v>
      </c>
      <c r="I320" s="14" t="s">
        <v>1586</v>
      </c>
      <c r="J320" s="14" t="s">
        <v>1586</v>
      </c>
      <c r="K320" s="14" t="s">
        <v>1586</v>
      </c>
      <c r="L320" s="14" t="s">
        <v>1586</v>
      </c>
      <c r="M320" s="15">
        <v>2</v>
      </c>
      <c r="N320" s="14" t="s">
        <v>1586</v>
      </c>
      <c r="O320" s="15">
        <v>1</v>
      </c>
      <c r="P320" s="14" t="s">
        <v>1586</v>
      </c>
      <c r="Q320" s="14" t="s">
        <v>1586</v>
      </c>
      <c r="R320" s="14" t="s">
        <v>1586</v>
      </c>
    </row>
    <row r="321" spans="1:18" ht="14.25">
      <c r="A321" s="6">
        <v>318</v>
      </c>
      <c r="B321" s="7" t="s">
        <v>470</v>
      </c>
      <c r="C321" s="8">
        <v>98</v>
      </c>
      <c r="D321" s="8">
        <v>98</v>
      </c>
      <c r="E321" s="14" t="s">
        <v>1586</v>
      </c>
      <c r="F321" s="14" t="s">
        <v>1586</v>
      </c>
      <c r="G321" s="14" t="s">
        <v>1586</v>
      </c>
      <c r="H321" s="14" t="s">
        <v>1586</v>
      </c>
      <c r="I321" s="14" t="s">
        <v>1586</v>
      </c>
      <c r="J321" s="14" t="s">
        <v>1586</v>
      </c>
      <c r="K321" s="14" t="s">
        <v>1586</v>
      </c>
      <c r="L321" s="14" t="s">
        <v>1586</v>
      </c>
      <c r="M321" s="14" t="s">
        <v>1586</v>
      </c>
      <c r="N321" s="14" t="s">
        <v>1586</v>
      </c>
      <c r="O321" s="15">
        <v>1</v>
      </c>
      <c r="P321" s="14" t="s">
        <v>1586</v>
      </c>
      <c r="Q321" s="14" t="s">
        <v>1586</v>
      </c>
      <c r="R321" s="14" t="s">
        <v>1586</v>
      </c>
    </row>
    <row r="322" spans="1:18" ht="14.25">
      <c r="A322" s="6">
        <v>319</v>
      </c>
      <c r="B322" s="7" t="s">
        <v>471</v>
      </c>
      <c r="C322" s="8">
        <v>50.5</v>
      </c>
      <c r="D322" s="8">
        <v>96</v>
      </c>
      <c r="E322" s="14" t="s">
        <v>1586</v>
      </c>
      <c r="F322" s="14" t="s">
        <v>1586</v>
      </c>
      <c r="G322" s="14" t="s">
        <v>1586</v>
      </c>
      <c r="H322" s="14" t="s">
        <v>1586</v>
      </c>
      <c r="I322" s="14" t="s">
        <v>1586</v>
      </c>
      <c r="J322" s="14" t="s">
        <v>1586</v>
      </c>
      <c r="K322" s="14" t="s">
        <v>1586</v>
      </c>
      <c r="L322" s="14" t="s">
        <v>1586</v>
      </c>
      <c r="M322" s="14" t="s">
        <v>1586</v>
      </c>
      <c r="N322" s="14" t="s">
        <v>1586</v>
      </c>
      <c r="O322" s="14" t="s">
        <v>1586</v>
      </c>
      <c r="P322" s="14" t="s">
        <v>1586</v>
      </c>
      <c r="Q322" s="14" t="s">
        <v>1586</v>
      </c>
      <c r="R322" s="15">
        <v>2</v>
      </c>
    </row>
    <row r="323" spans="1:18" ht="14.25">
      <c r="A323" s="6">
        <v>320</v>
      </c>
      <c r="B323" s="7" t="s">
        <v>472</v>
      </c>
      <c r="C323" s="8">
        <v>94</v>
      </c>
      <c r="D323" s="8">
        <v>94</v>
      </c>
      <c r="E323" s="14" t="s">
        <v>1586</v>
      </c>
      <c r="F323" s="14" t="s">
        <v>1586</v>
      </c>
      <c r="G323" s="14" t="s">
        <v>1586</v>
      </c>
      <c r="H323" s="14" t="s">
        <v>1586</v>
      </c>
      <c r="I323" s="14" t="s">
        <v>1586</v>
      </c>
      <c r="J323" s="14" t="s">
        <v>1586</v>
      </c>
      <c r="K323" s="14" t="s">
        <v>1586</v>
      </c>
      <c r="L323" s="14" t="s">
        <v>1586</v>
      </c>
      <c r="M323" s="14" t="s">
        <v>1586</v>
      </c>
      <c r="N323" s="14" t="s">
        <v>1586</v>
      </c>
      <c r="O323" s="14" t="s">
        <v>1586</v>
      </c>
      <c r="P323" s="14" t="s">
        <v>1586</v>
      </c>
      <c r="Q323" s="14" t="s">
        <v>1586</v>
      </c>
      <c r="R323" s="15">
        <v>1</v>
      </c>
    </row>
    <row r="324" spans="1:18" ht="14.25">
      <c r="A324" s="6">
        <v>321</v>
      </c>
      <c r="B324" s="7" t="s">
        <v>473</v>
      </c>
      <c r="C324" s="8">
        <v>80.2</v>
      </c>
      <c r="D324" s="8">
        <v>80.2</v>
      </c>
      <c r="E324" s="14" t="s">
        <v>1586</v>
      </c>
      <c r="F324" s="14" t="s">
        <v>1586</v>
      </c>
      <c r="G324" s="14" t="s">
        <v>1586</v>
      </c>
      <c r="H324" s="14" t="s">
        <v>1586</v>
      </c>
      <c r="I324" s="14" t="s">
        <v>1586</v>
      </c>
      <c r="J324" s="14" t="s">
        <v>1586</v>
      </c>
      <c r="K324" s="14" t="s">
        <v>1586</v>
      </c>
      <c r="L324" s="14" t="s">
        <v>1586</v>
      </c>
      <c r="M324" s="14" t="s">
        <v>1586</v>
      </c>
      <c r="N324" s="14" t="s">
        <v>1586</v>
      </c>
      <c r="O324" s="15">
        <v>1</v>
      </c>
      <c r="P324" s="14" t="s">
        <v>1586</v>
      </c>
      <c r="Q324" s="14" t="s">
        <v>1586</v>
      </c>
      <c r="R324" s="14" t="s">
        <v>1586</v>
      </c>
    </row>
    <row r="325" spans="1:18" ht="14.25">
      <c r="A325" s="6">
        <v>322</v>
      </c>
      <c r="B325" s="7" t="s">
        <v>474</v>
      </c>
      <c r="C325" s="8">
        <v>12.7</v>
      </c>
      <c r="D325" s="8">
        <v>78.3</v>
      </c>
      <c r="E325" s="14" t="s">
        <v>1586</v>
      </c>
      <c r="F325" s="14" t="s">
        <v>1586</v>
      </c>
      <c r="G325" s="14" t="s">
        <v>1586</v>
      </c>
      <c r="H325" s="14" t="s">
        <v>1586</v>
      </c>
      <c r="I325" s="14" t="s">
        <v>1586</v>
      </c>
      <c r="J325" s="14" t="s">
        <v>1586</v>
      </c>
      <c r="K325" s="14" t="s">
        <v>1586</v>
      </c>
      <c r="L325" s="14" t="s">
        <v>1586</v>
      </c>
      <c r="M325" s="15">
        <v>1</v>
      </c>
      <c r="N325" s="14" t="s">
        <v>1586</v>
      </c>
      <c r="O325" s="15">
        <v>1</v>
      </c>
      <c r="P325" s="14" t="s">
        <v>1586</v>
      </c>
      <c r="Q325" s="14" t="s">
        <v>1586</v>
      </c>
      <c r="R325" s="14" t="s">
        <v>1586</v>
      </c>
    </row>
    <row r="326" spans="1:18" ht="14.25">
      <c r="A326" s="6">
        <v>323</v>
      </c>
      <c r="B326" s="7" t="s">
        <v>475</v>
      </c>
      <c r="C326" s="8">
        <v>77.5</v>
      </c>
      <c r="D326" s="8">
        <v>77.5</v>
      </c>
      <c r="E326" s="14" t="s">
        <v>1586</v>
      </c>
      <c r="F326" s="14" t="s">
        <v>1586</v>
      </c>
      <c r="G326" s="14" t="s">
        <v>1586</v>
      </c>
      <c r="H326" s="14" t="s">
        <v>1586</v>
      </c>
      <c r="I326" s="14" t="s">
        <v>1586</v>
      </c>
      <c r="J326" s="14" t="s">
        <v>1586</v>
      </c>
      <c r="K326" s="14" t="s">
        <v>1586</v>
      </c>
      <c r="L326" s="14" t="s">
        <v>1586</v>
      </c>
      <c r="M326" s="14" t="s">
        <v>1586</v>
      </c>
      <c r="N326" s="14" t="s">
        <v>1586</v>
      </c>
      <c r="O326" s="14" t="s">
        <v>1586</v>
      </c>
      <c r="P326" s="15">
        <v>1</v>
      </c>
      <c r="Q326" s="14" t="s">
        <v>1586</v>
      </c>
      <c r="R326" s="14" t="s">
        <v>1586</v>
      </c>
    </row>
    <row r="327" spans="1:18" ht="14.25">
      <c r="A327" s="6">
        <v>324</v>
      </c>
      <c r="B327" s="7" t="s">
        <v>476</v>
      </c>
      <c r="C327" s="8">
        <v>77.099999999999994</v>
      </c>
      <c r="D327" s="8">
        <v>77.099999999999994</v>
      </c>
      <c r="E327" s="14" t="s">
        <v>1586</v>
      </c>
      <c r="F327" s="14" t="s">
        <v>1586</v>
      </c>
      <c r="G327" s="14" t="s">
        <v>1586</v>
      </c>
      <c r="H327" s="14" t="s">
        <v>1586</v>
      </c>
      <c r="I327" s="14" t="s">
        <v>1586</v>
      </c>
      <c r="J327" s="14" t="s">
        <v>1586</v>
      </c>
      <c r="K327" s="14" t="s">
        <v>1586</v>
      </c>
      <c r="L327" s="14" t="s">
        <v>1586</v>
      </c>
      <c r="M327" s="14" t="s">
        <v>1586</v>
      </c>
      <c r="N327" s="14" t="s">
        <v>1586</v>
      </c>
      <c r="O327" s="15">
        <v>1</v>
      </c>
      <c r="P327" s="14" t="s">
        <v>1586</v>
      </c>
      <c r="Q327" s="14" t="s">
        <v>1586</v>
      </c>
      <c r="R327" s="14" t="s">
        <v>1586</v>
      </c>
    </row>
    <row r="328" spans="1:18" ht="14.25">
      <c r="A328" s="6">
        <v>325</v>
      </c>
      <c r="B328" s="7" t="s">
        <v>477</v>
      </c>
      <c r="C328" s="8">
        <v>71</v>
      </c>
      <c r="D328" s="8">
        <v>71</v>
      </c>
      <c r="E328" s="14" t="s">
        <v>1586</v>
      </c>
      <c r="F328" s="14" t="s">
        <v>1586</v>
      </c>
      <c r="G328" s="14" t="s">
        <v>1586</v>
      </c>
      <c r="H328" s="14" t="s">
        <v>1586</v>
      </c>
      <c r="I328" s="14" t="s">
        <v>1586</v>
      </c>
      <c r="J328" s="14" t="s">
        <v>1586</v>
      </c>
      <c r="K328" s="14" t="s">
        <v>1586</v>
      </c>
      <c r="L328" s="14" t="s">
        <v>1586</v>
      </c>
      <c r="M328" s="14" t="s">
        <v>1586</v>
      </c>
      <c r="N328" s="14" t="s">
        <v>1586</v>
      </c>
      <c r="O328" s="14" t="s">
        <v>1586</v>
      </c>
      <c r="P328" s="14" t="s">
        <v>1586</v>
      </c>
      <c r="Q328" s="14" t="s">
        <v>1586</v>
      </c>
      <c r="R328" s="15">
        <v>1</v>
      </c>
    </row>
    <row r="329" spans="1:18" ht="14.25">
      <c r="A329" s="6">
        <v>326</v>
      </c>
      <c r="B329" s="7" t="s">
        <v>478</v>
      </c>
      <c r="C329" s="8">
        <v>52.5</v>
      </c>
      <c r="D329" s="8">
        <v>67.2</v>
      </c>
      <c r="E329" s="14" t="s">
        <v>1586</v>
      </c>
      <c r="F329" s="14" t="s">
        <v>1586</v>
      </c>
      <c r="G329" s="14" t="s">
        <v>1586</v>
      </c>
      <c r="H329" s="14" t="s">
        <v>1586</v>
      </c>
      <c r="I329" s="14" t="s">
        <v>1586</v>
      </c>
      <c r="J329" s="14" t="s">
        <v>1586</v>
      </c>
      <c r="K329" s="14" t="s">
        <v>1586</v>
      </c>
      <c r="L329" s="14" t="s">
        <v>1586</v>
      </c>
      <c r="M329" s="14" t="s">
        <v>1586</v>
      </c>
      <c r="N329" s="14" t="s">
        <v>1586</v>
      </c>
      <c r="O329" s="15">
        <v>1</v>
      </c>
      <c r="P329" s="15">
        <v>1</v>
      </c>
      <c r="Q329" s="14" t="s">
        <v>1586</v>
      </c>
      <c r="R329" s="14" t="s">
        <v>1586</v>
      </c>
    </row>
    <row r="330" spans="1:18" ht="14.25">
      <c r="A330" s="6">
        <v>327</v>
      </c>
      <c r="B330" s="7" t="s">
        <v>479</v>
      </c>
      <c r="C330" s="8">
        <v>65</v>
      </c>
      <c r="D330" s="8">
        <v>65</v>
      </c>
      <c r="E330" s="14" t="s">
        <v>1586</v>
      </c>
      <c r="F330" s="14" t="s">
        <v>1586</v>
      </c>
      <c r="G330" s="14" t="s">
        <v>1586</v>
      </c>
      <c r="H330" s="14" t="s">
        <v>1586</v>
      </c>
      <c r="I330" s="14" t="s">
        <v>1586</v>
      </c>
      <c r="J330" s="14" t="s">
        <v>1586</v>
      </c>
      <c r="K330" s="14" t="s">
        <v>1586</v>
      </c>
      <c r="L330" s="14" t="s">
        <v>1586</v>
      </c>
      <c r="M330" s="14" t="s">
        <v>1586</v>
      </c>
      <c r="N330" s="14" t="s">
        <v>1586</v>
      </c>
      <c r="O330" s="14" t="s">
        <v>1586</v>
      </c>
      <c r="P330" s="15">
        <v>1</v>
      </c>
      <c r="Q330" s="14" t="s">
        <v>1586</v>
      </c>
      <c r="R330" s="14" t="s">
        <v>1586</v>
      </c>
    </row>
    <row r="331" spans="1:18" ht="14.25">
      <c r="A331" s="6">
        <v>328</v>
      </c>
      <c r="B331" s="7" t="s">
        <v>480</v>
      </c>
      <c r="C331" s="8">
        <v>31.5</v>
      </c>
      <c r="D331" s="8">
        <v>65</v>
      </c>
      <c r="E331" s="14" t="s">
        <v>1586</v>
      </c>
      <c r="F331" s="14" t="s">
        <v>1586</v>
      </c>
      <c r="G331" s="14" t="s">
        <v>1586</v>
      </c>
      <c r="H331" s="14" t="s">
        <v>1586</v>
      </c>
      <c r="I331" s="14" t="s">
        <v>1586</v>
      </c>
      <c r="J331" s="14" t="s">
        <v>1586</v>
      </c>
      <c r="K331" s="14" t="s">
        <v>1586</v>
      </c>
      <c r="L331" s="15">
        <v>1</v>
      </c>
      <c r="M331" s="14" t="s">
        <v>1586</v>
      </c>
      <c r="N331" s="14" t="s">
        <v>1586</v>
      </c>
      <c r="O331" s="14" t="s">
        <v>1586</v>
      </c>
      <c r="P331" s="15">
        <v>1</v>
      </c>
      <c r="Q331" s="14" t="s">
        <v>1586</v>
      </c>
      <c r="R331" s="14" t="s">
        <v>1586</v>
      </c>
    </row>
    <row r="332" spans="1:18" ht="14.25">
      <c r="A332" s="6">
        <v>329</v>
      </c>
      <c r="B332" s="7" t="s">
        <v>481</v>
      </c>
      <c r="C332" s="8">
        <v>30.6</v>
      </c>
      <c r="D332" s="8">
        <v>63.5</v>
      </c>
      <c r="E332" s="14" t="s">
        <v>1586</v>
      </c>
      <c r="F332" s="14" t="s">
        <v>1586</v>
      </c>
      <c r="G332" s="14" t="s">
        <v>1586</v>
      </c>
      <c r="H332" s="14" t="s">
        <v>1586</v>
      </c>
      <c r="I332" s="14" t="s">
        <v>1586</v>
      </c>
      <c r="J332" s="14" t="s">
        <v>1586</v>
      </c>
      <c r="K332" s="14" t="s">
        <v>1586</v>
      </c>
      <c r="L332" s="14" t="s">
        <v>1586</v>
      </c>
      <c r="M332" s="14" t="s">
        <v>1586</v>
      </c>
      <c r="N332" s="14" t="s">
        <v>1586</v>
      </c>
      <c r="O332" s="14" t="s">
        <v>1586</v>
      </c>
      <c r="P332" s="15">
        <v>1</v>
      </c>
      <c r="Q332" s="15">
        <v>1</v>
      </c>
      <c r="R332" s="14" t="s">
        <v>1586</v>
      </c>
    </row>
    <row r="333" spans="1:18" ht="14.25">
      <c r="A333" s="6">
        <v>330</v>
      </c>
      <c r="B333" s="7" t="s">
        <v>482</v>
      </c>
      <c r="C333" s="8">
        <v>62</v>
      </c>
      <c r="D333" s="8">
        <v>62</v>
      </c>
      <c r="E333" s="14" t="s">
        <v>1586</v>
      </c>
      <c r="F333" s="14" t="s">
        <v>1586</v>
      </c>
      <c r="G333" s="14" t="s">
        <v>1586</v>
      </c>
      <c r="H333" s="14" t="s">
        <v>1586</v>
      </c>
      <c r="I333" s="14" t="s">
        <v>1586</v>
      </c>
      <c r="J333" s="14" t="s">
        <v>1586</v>
      </c>
      <c r="K333" s="14" t="s">
        <v>1586</v>
      </c>
      <c r="L333" s="14" t="s">
        <v>1586</v>
      </c>
      <c r="M333" s="14" t="s">
        <v>1586</v>
      </c>
      <c r="N333" s="14" t="s">
        <v>1586</v>
      </c>
      <c r="O333" s="14" t="s">
        <v>1586</v>
      </c>
      <c r="P333" s="14" t="s">
        <v>1586</v>
      </c>
      <c r="Q333" s="14" t="s">
        <v>1586</v>
      </c>
      <c r="R333" s="15">
        <v>1</v>
      </c>
    </row>
    <row r="334" spans="1:18" ht="14.25">
      <c r="A334" s="6">
        <v>331</v>
      </c>
      <c r="B334" s="7" t="s">
        <v>483</v>
      </c>
      <c r="C334" s="8">
        <v>35</v>
      </c>
      <c r="D334" s="8">
        <v>60.5</v>
      </c>
      <c r="E334" s="14" t="s">
        <v>1586</v>
      </c>
      <c r="F334" s="14" t="s">
        <v>1586</v>
      </c>
      <c r="G334" s="14" t="s">
        <v>1586</v>
      </c>
      <c r="H334" s="14" t="s">
        <v>1586</v>
      </c>
      <c r="I334" s="14" t="s">
        <v>1586</v>
      </c>
      <c r="J334" s="14" t="s">
        <v>1586</v>
      </c>
      <c r="K334" s="14" t="s">
        <v>1586</v>
      </c>
      <c r="L334" s="14" t="s">
        <v>1586</v>
      </c>
      <c r="M334" s="14" t="s">
        <v>1586</v>
      </c>
      <c r="N334" s="14" t="s">
        <v>1586</v>
      </c>
      <c r="O334" s="14" t="s">
        <v>1586</v>
      </c>
      <c r="P334" s="14" t="s">
        <v>1586</v>
      </c>
      <c r="Q334" s="14" t="s">
        <v>1586</v>
      </c>
      <c r="R334" s="15">
        <v>2</v>
      </c>
    </row>
    <row r="335" spans="1:18" ht="14.25">
      <c r="A335" s="6">
        <v>332</v>
      </c>
      <c r="B335" s="7" t="s">
        <v>484</v>
      </c>
      <c r="C335" s="8">
        <v>60.5</v>
      </c>
      <c r="D335" s="8">
        <v>60.5</v>
      </c>
      <c r="E335" s="14" t="s">
        <v>1586</v>
      </c>
      <c r="F335" s="14" t="s">
        <v>1586</v>
      </c>
      <c r="G335" s="14" t="s">
        <v>1586</v>
      </c>
      <c r="H335" s="14" t="s">
        <v>1586</v>
      </c>
      <c r="I335" s="14" t="s">
        <v>1586</v>
      </c>
      <c r="J335" s="14" t="s">
        <v>1586</v>
      </c>
      <c r="K335" s="14" t="s">
        <v>1586</v>
      </c>
      <c r="L335" s="14" t="s">
        <v>1586</v>
      </c>
      <c r="M335" s="14" t="s">
        <v>1586</v>
      </c>
      <c r="N335" s="14" t="s">
        <v>1586</v>
      </c>
      <c r="O335" s="14" t="s">
        <v>1586</v>
      </c>
      <c r="P335" s="14" t="s">
        <v>1586</v>
      </c>
      <c r="Q335" s="14" t="s">
        <v>1586</v>
      </c>
      <c r="R335" s="15">
        <v>1</v>
      </c>
    </row>
    <row r="336" spans="1:18" ht="14.25">
      <c r="A336" s="6">
        <v>333</v>
      </c>
      <c r="B336" s="7" t="s">
        <v>485</v>
      </c>
      <c r="C336" s="8">
        <v>60</v>
      </c>
      <c r="D336" s="8">
        <v>60</v>
      </c>
      <c r="E336" s="14" t="s">
        <v>1586</v>
      </c>
      <c r="F336" s="14" t="s">
        <v>1586</v>
      </c>
      <c r="G336" s="14" t="s">
        <v>1586</v>
      </c>
      <c r="H336" s="14" t="s">
        <v>1586</v>
      </c>
      <c r="I336" s="14" t="s">
        <v>1586</v>
      </c>
      <c r="J336" s="14" t="s">
        <v>1586</v>
      </c>
      <c r="K336" s="14" t="s">
        <v>1586</v>
      </c>
      <c r="L336" s="14" t="s">
        <v>1586</v>
      </c>
      <c r="M336" s="14" t="s">
        <v>1586</v>
      </c>
      <c r="N336" s="14" t="s">
        <v>1586</v>
      </c>
      <c r="O336" s="15">
        <v>1</v>
      </c>
      <c r="P336" s="14" t="s">
        <v>1586</v>
      </c>
      <c r="Q336" s="14" t="s">
        <v>1586</v>
      </c>
      <c r="R336" s="14" t="s">
        <v>1586</v>
      </c>
    </row>
    <row r="337" spans="1:18" ht="14.25">
      <c r="A337" s="6">
        <v>334</v>
      </c>
      <c r="B337" s="7" t="s">
        <v>486</v>
      </c>
      <c r="C337" s="8">
        <v>21</v>
      </c>
      <c r="D337" s="8">
        <v>59.5</v>
      </c>
      <c r="E337" s="14" t="s">
        <v>1586</v>
      </c>
      <c r="F337" s="14" t="s">
        <v>1586</v>
      </c>
      <c r="G337" s="14" t="s">
        <v>1586</v>
      </c>
      <c r="H337" s="14" t="s">
        <v>1586</v>
      </c>
      <c r="I337" s="14" t="s">
        <v>1586</v>
      </c>
      <c r="J337" s="14" t="s">
        <v>1586</v>
      </c>
      <c r="K337" s="14" t="s">
        <v>1586</v>
      </c>
      <c r="L337" s="14" t="s">
        <v>1586</v>
      </c>
      <c r="M337" s="14" t="s">
        <v>1586</v>
      </c>
      <c r="N337" s="15">
        <v>1</v>
      </c>
      <c r="O337" s="15">
        <v>1</v>
      </c>
      <c r="P337" s="14" t="s">
        <v>1586</v>
      </c>
      <c r="Q337" s="14" t="s">
        <v>1586</v>
      </c>
      <c r="R337" s="14" t="s">
        <v>1586</v>
      </c>
    </row>
    <row r="338" spans="1:18" ht="14.25">
      <c r="A338" s="6">
        <v>335</v>
      </c>
      <c r="B338" s="7" t="s">
        <v>487</v>
      </c>
      <c r="C338" s="8">
        <v>56.5</v>
      </c>
      <c r="D338" s="8">
        <v>56.5</v>
      </c>
      <c r="E338" s="14" t="s">
        <v>1586</v>
      </c>
      <c r="F338" s="14" t="s">
        <v>1586</v>
      </c>
      <c r="G338" s="14" t="s">
        <v>1586</v>
      </c>
      <c r="H338" s="14" t="s">
        <v>1586</v>
      </c>
      <c r="I338" s="14" t="s">
        <v>1586</v>
      </c>
      <c r="J338" s="14" t="s">
        <v>1586</v>
      </c>
      <c r="K338" s="14" t="s">
        <v>1586</v>
      </c>
      <c r="L338" s="14" t="s">
        <v>1586</v>
      </c>
      <c r="M338" s="14" t="s">
        <v>1586</v>
      </c>
      <c r="N338" s="14" t="s">
        <v>1586</v>
      </c>
      <c r="O338" s="15">
        <v>1</v>
      </c>
      <c r="P338" s="14" t="s">
        <v>1586</v>
      </c>
      <c r="Q338" s="14" t="s">
        <v>1586</v>
      </c>
      <c r="R338" s="14" t="s">
        <v>1586</v>
      </c>
    </row>
    <row r="339" spans="1:18" ht="14.25">
      <c r="A339" s="6">
        <v>336</v>
      </c>
      <c r="B339" s="7" t="s">
        <v>488</v>
      </c>
      <c r="C339" s="8">
        <v>55.6</v>
      </c>
      <c r="D339" s="8">
        <v>55.6</v>
      </c>
      <c r="E339" s="14" t="s">
        <v>1586</v>
      </c>
      <c r="F339" s="14" t="s">
        <v>1586</v>
      </c>
      <c r="G339" s="14" t="s">
        <v>1586</v>
      </c>
      <c r="H339" s="14" t="s">
        <v>1586</v>
      </c>
      <c r="I339" s="14" t="s">
        <v>1586</v>
      </c>
      <c r="J339" s="14" t="s">
        <v>1586</v>
      </c>
      <c r="K339" s="14" t="s">
        <v>1586</v>
      </c>
      <c r="L339" s="14" t="s">
        <v>1586</v>
      </c>
      <c r="M339" s="14" t="s">
        <v>1586</v>
      </c>
      <c r="N339" s="14" t="s">
        <v>1586</v>
      </c>
      <c r="O339" s="15">
        <v>1</v>
      </c>
      <c r="P339" s="14" t="s">
        <v>1586</v>
      </c>
      <c r="Q339" s="14" t="s">
        <v>1586</v>
      </c>
      <c r="R339" s="14" t="s">
        <v>1586</v>
      </c>
    </row>
    <row r="340" spans="1:18" ht="14.25">
      <c r="A340" s="6">
        <v>337</v>
      </c>
      <c r="B340" s="7" t="s">
        <v>489</v>
      </c>
      <c r="C340" s="8">
        <v>54</v>
      </c>
      <c r="D340" s="8">
        <v>54</v>
      </c>
      <c r="E340" s="14" t="s">
        <v>1586</v>
      </c>
      <c r="F340" s="14" t="s">
        <v>1586</v>
      </c>
      <c r="G340" s="14" t="s">
        <v>1586</v>
      </c>
      <c r="H340" s="14" t="s">
        <v>1586</v>
      </c>
      <c r="I340" s="14" t="s">
        <v>1586</v>
      </c>
      <c r="J340" s="14" t="s">
        <v>1586</v>
      </c>
      <c r="K340" s="14" t="s">
        <v>1586</v>
      </c>
      <c r="L340" s="14" t="s">
        <v>1586</v>
      </c>
      <c r="M340" s="14" t="s">
        <v>1586</v>
      </c>
      <c r="N340" s="14" t="s">
        <v>1586</v>
      </c>
      <c r="O340" s="14" t="s">
        <v>1586</v>
      </c>
      <c r="P340" s="14" t="s">
        <v>1586</v>
      </c>
      <c r="Q340" s="14" t="s">
        <v>1586</v>
      </c>
      <c r="R340" s="15">
        <v>1</v>
      </c>
    </row>
    <row r="341" spans="1:18" ht="14.25">
      <c r="A341" s="6">
        <v>338</v>
      </c>
      <c r="B341" s="7" t="s">
        <v>490</v>
      </c>
      <c r="C341" s="8">
        <v>50</v>
      </c>
      <c r="D341" s="8">
        <v>51.5</v>
      </c>
      <c r="E341" s="14" t="s">
        <v>1586</v>
      </c>
      <c r="F341" s="14" t="s">
        <v>1586</v>
      </c>
      <c r="G341" s="14" t="s">
        <v>1586</v>
      </c>
      <c r="H341" s="14" t="s">
        <v>1586</v>
      </c>
      <c r="I341" s="14" t="s">
        <v>1586</v>
      </c>
      <c r="J341" s="14" t="s">
        <v>1586</v>
      </c>
      <c r="K341" s="14" t="s">
        <v>1586</v>
      </c>
      <c r="L341" s="14" t="s">
        <v>1586</v>
      </c>
      <c r="M341" s="14" t="s">
        <v>1586</v>
      </c>
      <c r="N341" s="14" t="s">
        <v>1586</v>
      </c>
      <c r="O341" s="15">
        <v>1</v>
      </c>
      <c r="P341" s="15">
        <v>1</v>
      </c>
      <c r="Q341" s="14" t="s">
        <v>1586</v>
      </c>
      <c r="R341" s="14" t="s">
        <v>1586</v>
      </c>
    </row>
    <row r="342" spans="1:18" ht="14.25">
      <c r="A342" s="6">
        <v>339</v>
      </c>
      <c r="B342" s="7" t="s">
        <v>491</v>
      </c>
      <c r="C342" s="8">
        <v>51</v>
      </c>
      <c r="D342" s="8">
        <v>51</v>
      </c>
      <c r="E342" s="14" t="s">
        <v>1586</v>
      </c>
      <c r="F342" s="14" t="s">
        <v>1586</v>
      </c>
      <c r="G342" s="14" t="s">
        <v>1586</v>
      </c>
      <c r="H342" s="14" t="s">
        <v>1586</v>
      </c>
      <c r="I342" s="14" t="s">
        <v>1586</v>
      </c>
      <c r="J342" s="14" t="s">
        <v>1586</v>
      </c>
      <c r="K342" s="14" t="s">
        <v>1586</v>
      </c>
      <c r="L342" s="14" t="s">
        <v>1586</v>
      </c>
      <c r="M342" s="14" t="s">
        <v>1586</v>
      </c>
      <c r="N342" s="14" t="s">
        <v>1586</v>
      </c>
      <c r="O342" s="14" t="s">
        <v>1586</v>
      </c>
      <c r="P342" s="14" t="s">
        <v>1586</v>
      </c>
      <c r="Q342" s="14" t="s">
        <v>1586</v>
      </c>
      <c r="R342" s="15">
        <v>1</v>
      </c>
    </row>
    <row r="343" spans="1:18" ht="14.25">
      <c r="A343" s="6">
        <v>340</v>
      </c>
      <c r="B343" s="7" t="s">
        <v>492</v>
      </c>
      <c r="C343" s="8">
        <v>51</v>
      </c>
      <c r="D343" s="8">
        <v>51</v>
      </c>
      <c r="E343" s="14" t="s">
        <v>1586</v>
      </c>
      <c r="F343" s="14" t="s">
        <v>1586</v>
      </c>
      <c r="G343" s="14" t="s">
        <v>1586</v>
      </c>
      <c r="H343" s="14" t="s">
        <v>1586</v>
      </c>
      <c r="I343" s="14" t="s">
        <v>1586</v>
      </c>
      <c r="J343" s="14" t="s">
        <v>1586</v>
      </c>
      <c r="K343" s="14" t="s">
        <v>1586</v>
      </c>
      <c r="L343" s="14" t="s">
        <v>1586</v>
      </c>
      <c r="M343" s="14" t="s">
        <v>1586</v>
      </c>
      <c r="N343" s="14" t="s">
        <v>1586</v>
      </c>
      <c r="O343" s="14" t="s">
        <v>1586</v>
      </c>
      <c r="P343" s="14" t="s">
        <v>1586</v>
      </c>
      <c r="Q343" s="14" t="s">
        <v>1586</v>
      </c>
      <c r="R343" s="15">
        <v>1</v>
      </c>
    </row>
    <row r="344" spans="1:18" ht="14.25">
      <c r="A344" s="6">
        <v>341</v>
      </c>
      <c r="B344" s="7" t="s">
        <v>493</v>
      </c>
      <c r="C344" s="8">
        <v>50.6</v>
      </c>
      <c r="D344" s="8">
        <v>50.6</v>
      </c>
      <c r="E344" s="14" t="s">
        <v>1586</v>
      </c>
      <c r="F344" s="14" t="s">
        <v>1586</v>
      </c>
      <c r="G344" s="14" t="s">
        <v>1586</v>
      </c>
      <c r="H344" s="14" t="s">
        <v>1586</v>
      </c>
      <c r="I344" s="14" t="s">
        <v>1586</v>
      </c>
      <c r="J344" s="14" t="s">
        <v>1586</v>
      </c>
      <c r="K344" s="14" t="s">
        <v>1586</v>
      </c>
      <c r="L344" s="14" t="s">
        <v>1586</v>
      </c>
      <c r="M344" s="14" t="s">
        <v>1586</v>
      </c>
      <c r="N344" s="14" t="s">
        <v>1586</v>
      </c>
      <c r="O344" s="15">
        <v>1</v>
      </c>
      <c r="P344" s="14" t="s">
        <v>1586</v>
      </c>
      <c r="Q344" s="14" t="s">
        <v>1586</v>
      </c>
      <c r="R344" s="14" t="s">
        <v>1586</v>
      </c>
    </row>
    <row r="345" spans="1:18" ht="14.25">
      <c r="A345" s="6">
        <v>342</v>
      </c>
      <c r="B345" s="7" t="s">
        <v>494</v>
      </c>
      <c r="C345" s="8">
        <v>50.5</v>
      </c>
      <c r="D345" s="8">
        <v>50.5</v>
      </c>
      <c r="E345" s="14" t="s">
        <v>1586</v>
      </c>
      <c r="F345" s="14" t="s">
        <v>1586</v>
      </c>
      <c r="G345" s="14" t="s">
        <v>1586</v>
      </c>
      <c r="H345" s="14" t="s">
        <v>1586</v>
      </c>
      <c r="I345" s="14" t="s">
        <v>1586</v>
      </c>
      <c r="J345" s="14" t="s">
        <v>1586</v>
      </c>
      <c r="K345" s="14" t="s">
        <v>1586</v>
      </c>
      <c r="L345" s="14" t="s">
        <v>1586</v>
      </c>
      <c r="M345" s="14" t="s">
        <v>1586</v>
      </c>
      <c r="N345" s="14" t="s">
        <v>1586</v>
      </c>
      <c r="O345" s="15">
        <v>1</v>
      </c>
      <c r="P345" s="14" t="s">
        <v>1586</v>
      </c>
      <c r="Q345" s="14" t="s">
        <v>1586</v>
      </c>
      <c r="R345" s="14" t="s">
        <v>1586</v>
      </c>
    </row>
    <row r="346" spans="1:18" ht="14.25">
      <c r="A346" s="6">
        <v>343</v>
      </c>
      <c r="B346" s="7" t="s">
        <v>495</v>
      </c>
      <c r="C346" s="8">
        <v>44.5</v>
      </c>
      <c r="D346" s="8">
        <v>44.5</v>
      </c>
      <c r="E346" s="14" t="s">
        <v>1586</v>
      </c>
      <c r="F346" s="14" t="s">
        <v>1586</v>
      </c>
      <c r="G346" s="14" t="s">
        <v>1586</v>
      </c>
      <c r="H346" s="14" t="s">
        <v>1586</v>
      </c>
      <c r="I346" s="14" t="s">
        <v>1586</v>
      </c>
      <c r="J346" s="14" t="s">
        <v>1586</v>
      </c>
      <c r="K346" s="14" t="s">
        <v>1586</v>
      </c>
      <c r="L346" s="14" t="s">
        <v>1586</v>
      </c>
      <c r="M346" s="14" t="s">
        <v>1586</v>
      </c>
      <c r="N346" s="14" t="s">
        <v>1586</v>
      </c>
      <c r="O346" s="14" t="s">
        <v>1586</v>
      </c>
      <c r="P346" s="14" t="s">
        <v>1586</v>
      </c>
      <c r="Q346" s="14" t="s">
        <v>1586</v>
      </c>
      <c r="R346" s="15">
        <v>1</v>
      </c>
    </row>
    <row r="347" spans="1:18" ht="14.25">
      <c r="A347" s="6">
        <v>344</v>
      </c>
      <c r="B347" s="7" t="s">
        <v>496</v>
      </c>
      <c r="C347" s="8">
        <v>44.5</v>
      </c>
      <c r="D347" s="8">
        <v>44.5</v>
      </c>
      <c r="E347" s="14" t="s">
        <v>1586</v>
      </c>
      <c r="F347" s="14" t="s">
        <v>1586</v>
      </c>
      <c r="G347" s="14" t="s">
        <v>1586</v>
      </c>
      <c r="H347" s="14" t="s">
        <v>1586</v>
      </c>
      <c r="I347" s="14" t="s">
        <v>1586</v>
      </c>
      <c r="J347" s="14" t="s">
        <v>1586</v>
      </c>
      <c r="K347" s="14" t="s">
        <v>1586</v>
      </c>
      <c r="L347" s="14" t="s">
        <v>1586</v>
      </c>
      <c r="M347" s="14" t="s">
        <v>1586</v>
      </c>
      <c r="N347" s="14" t="s">
        <v>1586</v>
      </c>
      <c r="O347" s="14" t="s">
        <v>1586</v>
      </c>
      <c r="P347" s="14" t="s">
        <v>1586</v>
      </c>
      <c r="Q347" s="14" t="s">
        <v>1586</v>
      </c>
      <c r="R347" s="15">
        <v>1</v>
      </c>
    </row>
    <row r="348" spans="1:18" ht="14.25">
      <c r="A348" s="6">
        <v>345</v>
      </c>
      <c r="B348" s="7" t="s">
        <v>497</v>
      </c>
      <c r="C348" s="8">
        <v>32.5</v>
      </c>
      <c r="D348" s="8">
        <v>43</v>
      </c>
      <c r="E348" s="14" t="s">
        <v>1586</v>
      </c>
      <c r="F348" s="14" t="s">
        <v>1586</v>
      </c>
      <c r="G348" s="14" t="s">
        <v>1586</v>
      </c>
      <c r="H348" s="14" t="s">
        <v>1586</v>
      </c>
      <c r="I348" s="14" t="s">
        <v>1586</v>
      </c>
      <c r="J348" s="14" t="s">
        <v>1586</v>
      </c>
      <c r="K348" s="14" t="s">
        <v>1586</v>
      </c>
      <c r="L348" s="14" t="s">
        <v>1586</v>
      </c>
      <c r="M348" s="14" t="s">
        <v>1586</v>
      </c>
      <c r="N348" s="15">
        <v>1</v>
      </c>
      <c r="O348" s="15">
        <v>1</v>
      </c>
      <c r="P348" s="14" t="s">
        <v>1586</v>
      </c>
      <c r="Q348" s="14" t="s">
        <v>1586</v>
      </c>
      <c r="R348" s="14" t="s">
        <v>1586</v>
      </c>
    </row>
    <row r="349" spans="1:18" ht="14.25">
      <c r="A349" s="6">
        <v>346</v>
      </c>
      <c r="B349" s="7" t="s">
        <v>498</v>
      </c>
      <c r="C349" s="8">
        <v>42</v>
      </c>
      <c r="D349" s="8">
        <v>42</v>
      </c>
      <c r="E349" s="14" t="s">
        <v>1586</v>
      </c>
      <c r="F349" s="14" t="s">
        <v>1586</v>
      </c>
      <c r="G349" s="14" t="s">
        <v>1586</v>
      </c>
      <c r="H349" s="14" t="s">
        <v>1586</v>
      </c>
      <c r="I349" s="14" t="s">
        <v>1586</v>
      </c>
      <c r="J349" s="14" t="s">
        <v>1586</v>
      </c>
      <c r="K349" s="14" t="s">
        <v>1586</v>
      </c>
      <c r="L349" s="14" t="s">
        <v>1586</v>
      </c>
      <c r="M349" s="14" t="s">
        <v>1586</v>
      </c>
      <c r="N349" s="14" t="s">
        <v>1586</v>
      </c>
      <c r="O349" s="15">
        <v>1</v>
      </c>
      <c r="P349" s="14" t="s">
        <v>1586</v>
      </c>
      <c r="Q349" s="14" t="s">
        <v>1586</v>
      </c>
      <c r="R349" s="14" t="s">
        <v>1586</v>
      </c>
    </row>
    <row r="350" spans="1:18" ht="14.25">
      <c r="A350" s="6">
        <v>347</v>
      </c>
      <c r="B350" s="7" t="s">
        <v>499</v>
      </c>
      <c r="C350" s="8">
        <v>37.5</v>
      </c>
      <c r="D350" s="8">
        <v>37.5</v>
      </c>
      <c r="E350" s="14" t="s">
        <v>1586</v>
      </c>
      <c r="F350" s="14" t="s">
        <v>1586</v>
      </c>
      <c r="G350" s="14" t="s">
        <v>1586</v>
      </c>
      <c r="H350" s="14" t="s">
        <v>1586</v>
      </c>
      <c r="I350" s="14" t="s">
        <v>1586</v>
      </c>
      <c r="J350" s="14" t="s">
        <v>1586</v>
      </c>
      <c r="K350" s="14" t="s">
        <v>1586</v>
      </c>
      <c r="L350" s="14" t="s">
        <v>1586</v>
      </c>
      <c r="M350" s="14" t="s">
        <v>1586</v>
      </c>
      <c r="N350" s="14" t="s">
        <v>1586</v>
      </c>
      <c r="O350" s="14" t="s">
        <v>1586</v>
      </c>
      <c r="P350" s="15">
        <v>1</v>
      </c>
      <c r="Q350" s="14" t="s">
        <v>1586</v>
      </c>
      <c r="R350" s="14" t="s">
        <v>1586</v>
      </c>
    </row>
    <row r="351" spans="1:18" ht="14.25">
      <c r="A351" s="6">
        <v>348</v>
      </c>
      <c r="B351" s="7" t="s">
        <v>500</v>
      </c>
      <c r="C351" s="8">
        <v>35</v>
      </c>
      <c r="D351" s="8">
        <v>35</v>
      </c>
      <c r="E351" s="14" t="s">
        <v>1586</v>
      </c>
      <c r="F351" s="14" t="s">
        <v>1586</v>
      </c>
      <c r="G351" s="14" t="s">
        <v>1586</v>
      </c>
      <c r="H351" s="14" t="s">
        <v>1586</v>
      </c>
      <c r="I351" s="14" t="s">
        <v>1586</v>
      </c>
      <c r="J351" s="14" t="s">
        <v>1586</v>
      </c>
      <c r="K351" s="14" t="s">
        <v>1586</v>
      </c>
      <c r="L351" s="14" t="s">
        <v>1586</v>
      </c>
      <c r="M351" s="14" t="s">
        <v>1586</v>
      </c>
      <c r="N351" s="14" t="s">
        <v>1586</v>
      </c>
      <c r="O351" s="14" t="s">
        <v>1586</v>
      </c>
      <c r="P351" s="14" t="s">
        <v>1586</v>
      </c>
      <c r="Q351" s="14" t="s">
        <v>1586</v>
      </c>
      <c r="R351" s="15">
        <v>1</v>
      </c>
    </row>
    <row r="352" spans="1:18" ht="14.25">
      <c r="A352" s="6">
        <v>349</v>
      </c>
      <c r="B352" s="7" t="s">
        <v>501</v>
      </c>
      <c r="C352" s="8">
        <v>33</v>
      </c>
      <c r="D352" s="8">
        <v>33</v>
      </c>
      <c r="E352" s="14" t="s">
        <v>1586</v>
      </c>
      <c r="F352" s="14" t="s">
        <v>1586</v>
      </c>
      <c r="G352" s="14" t="s">
        <v>1586</v>
      </c>
      <c r="H352" s="14" t="s">
        <v>1586</v>
      </c>
      <c r="I352" s="14" t="s">
        <v>1586</v>
      </c>
      <c r="J352" s="14" t="s">
        <v>1586</v>
      </c>
      <c r="K352" s="14" t="s">
        <v>1586</v>
      </c>
      <c r="L352" s="14" t="s">
        <v>1586</v>
      </c>
      <c r="M352" s="14" t="s">
        <v>1586</v>
      </c>
      <c r="N352" s="14" t="s">
        <v>1586</v>
      </c>
      <c r="O352" s="14" t="s">
        <v>1586</v>
      </c>
      <c r="P352" s="14" t="s">
        <v>1586</v>
      </c>
      <c r="Q352" s="14" t="s">
        <v>1586</v>
      </c>
      <c r="R352" s="15">
        <v>1</v>
      </c>
    </row>
    <row r="353" spans="1:18" ht="14.25">
      <c r="A353" s="6">
        <v>350</v>
      </c>
      <c r="B353" s="7" t="s">
        <v>502</v>
      </c>
      <c r="C353" s="8">
        <v>11.2</v>
      </c>
      <c r="D353" s="8">
        <v>31.2</v>
      </c>
      <c r="E353" s="14" t="s">
        <v>1586</v>
      </c>
      <c r="F353" s="14" t="s">
        <v>1586</v>
      </c>
      <c r="G353" s="14" t="s">
        <v>1586</v>
      </c>
      <c r="H353" s="14" t="s">
        <v>1586</v>
      </c>
      <c r="I353" s="14" t="s">
        <v>1586</v>
      </c>
      <c r="J353" s="14" t="s">
        <v>1586</v>
      </c>
      <c r="K353" s="14" t="s">
        <v>1586</v>
      </c>
      <c r="L353" s="14" t="s">
        <v>1586</v>
      </c>
      <c r="M353" s="14" t="s">
        <v>1586</v>
      </c>
      <c r="N353" s="14" t="s">
        <v>1586</v>
      </c>
      <c r="O353" s="14" t="s">
        <v>1586</v>
      </c>
      <c r="P353" s="14" t="s">
        <v>1586</v>
      </c>
      <c r="Q353" s="14" t="s">
        <v>1586</v>
      </c>
      <c r="R353" s="15">
        <v>2</v>
      </c>
    </row>
    <row r="354" spans="1:18" ht="14.25">
      <c r="A354" s="6">
        <v>351</v>
      </c>
      <c r="B354" s="7" t="s">
        <v>503</v>
      </c>
      <c r="C354" s="8">
        <v>31</v>
      </c>
      <c r="D354" s="8">
        <v>31</v>
      </c>
      <c r="E354" s="14" t="s">
        <v>1586</v>
      </c>
      <c r="F354" s="14" t="s">
        <v>1586</v>
      </c>
      <c r="G354" s="14" t="s">
        <v>1586</v>
      </c>
      <c r="H354" s="14" t="s">
        <v>1586</v>
      </c>
      <c r="I354" s="14" t="s">
        <v>1586</v>
      </c>
      <c r="J354" s="14" t="s">
        <v>1586</v>
      </c>
      <c r="K354" s="14" t="s">
        <v>1586</v>
      </c>
      <c r="L354" s="14" t="s">
        <v>1586</v>
      </c>
      <c r="M354" s="14" t="s">
        <v>1586</v>
      </c>
      <c r="N354" s="14" t="s">
        <v>1586</v>
      </c>
      <c r="O354" s="15">
        <v>1</v>
      </c>
      <c r="P354" s="14" t="s">
        <v>1586</v>
      </c>
      <c r="Q354" s="14" t="s">
        <v>1586</v>
      </c>
      <c r="R354" s="14" t="s">
        <v>1586</v>
      </c>
    </row>
    <row r="355" spans="1:18" ht="14.25">
      <c r="A355" s="6">
        <v>352</v>
      </c>
      <c r="B355" s="7" t="s">
        <v>504</v>
      </c>
      <c r="C355" s="8">
        <v>27.5</v>
      </c>
      <c r="D355" s="8">
        <v>27.5</v>
      </c>
      <c r="E355" s="14" t="s">
        <v>1586</v>
      </c>
      <c r="F355" s="14" t="s">
        <v>1586</v>
      </c>
      <c r="G355" s="14" t="s">
        <v>1586</v>
      </c>
      <c r="H355" s="14" t="s">
        <v>1586</v>
      </c>
      <c r="I355" s="14" t="s">
        <v>1586</v>
      </c>
      <c r="J355" s="14" t="s">
        <v>1586</v>
      </c>
      <c r="K355" s="14" t="s">
        <v>1586</v>
      </c>
      <c r="L355" s="14" t="s">
        <v>1586</v>
      </c>
      <c r="M355" s="14" t="s">
        <v>1586</v>
      </c>
      <c r="N355" s="14" t="s">
        <v>1586</v>
      </c>
      <c r="O355" s="14" t="s">
        <v>1586</v>
      </c>
      <c r="P355" s="14" t="s">
        <v>1586</v>
      </c>
      <c r="Q355" s="14" t="s">
        <v>1586</v>
      </c>
      <c r="R355" s="15">
        <v>1</v>
      </c>
    </row>
    <row r="356" spans="1:18" ht="14.25">
      <c r="A356" s="6">
        <v>353</v>
      </c>
      <c r="B356" s="7" t="s">
        <v>505</v>
      </c>
      <c r="C356" s="8">
        <v>24</v>
      </c>
      <c r="D356" s="8">
        <v>24</v>
      </c>
      <c r="E356" s="14" t="s">
        <v>1586</v>
      </c>
      <c r="F356" s="14" t="s">
        <v>1586</v>
      </c>
      <c r="G356" s="14" t="s">
        <v>1586</v>
      </c>
      <c r="H356" s="14" t="s">
        <v>1586</v>
      </c>
      <c r="I356" s="14" t="s">
        <v>1586</v>
      </c>
      <c r="J356" s="14" t="s">
        <v>1586</v>
      </c>
      <c r="K356" s="14" t="s">
        <v>1586</v>
      </c>
      <c r="L356" s="14" t="s">
        <v>1586</v>
      </c>
      <c r="M356" s="14" t="s">
        <v>1586</v>
      </c>
      <c r="N356" s="14" t="s">
        <v>1586</v>
      </c>
      <c r="O356" s="15">
        <v>1</v>
      </c>
      <c r="P356" s="14" t="s">
        <v>1586</v>
      </c>
      <c r="Q356" s="14" t="s">
        <v>1586</v>
      </c>
      <c r="R356" s="14" t="s">
        <v>1586</v>
      </c>
    </row>
    <row r="357" spans="1:18" ht="14.25">
      <c r="A357" s="6">
        <v>354</v>
      </c>
      <c r="B357" s="7" t="s">
        <v>506</v>
      </c>
      <c r="C357" s="8">
        <v>12.5</v>
      </c>
      <c r="D357" s="8">
        <v>21.5</v>
      </c>
      <c r="E357" s="14" t="s">
        <v>1586</v>
      </c>
      <c r="F357" s="14" t="s">
        <v>1586</v>
      </c>
      <c r="G357" s="14" t="s">
        <v>1586</v>
      </c>
      <c r="H357" s="14" t="s">
        <v>1586</v>
      </c>
      <c r="I357" s="14" t="s">
        <v>1586</v>
      </c>
      <c r="J357" s="14" t="s">
        <v>1586</v>
      </c>
      <c r="K357" s="14" t="s">
        <v>1586</v>
      </c>
      <c r="L357" s="14" t="s">
        <v>1586</v>
      </c>
      <c r="M357" s="14" t="s">
        <v>1586</v>
      </c>
      <c r="N357" s="14" t="s">
        <v>1586</v>
      </c>
      <c r="O357" s="15">
        <v>2</v>
      </c>
      <c r="P357" s="14" t="s">
        <v>1586</v>
      </c>
      <c r="Q357" s="14" t="s">
        <v>1586</v>
      </c>
      <c r="R357" s="14" t="s">
        <v>1586</v>
      </c>
    </row>
    <row r="358" spans="1:18" ht="14.25">
      <c r="A358" s="6">
        <v>355</v>
      </c>
      <c r="B358" s="7" t="s">
        <v>507</v>
      </c>
      <c r="C358" s="8">
        <v>21</v>
      </c>
      <c r="D358" s="8">
        <v>21</v>
      </c>
      <c r="E358" s="14" t="s">
        <v>1586</v>
      </c>
      <c r="F358" s="14" t="s">
        <v>1586</v>
      </c>
      <c r="G358" s="14" t="s">
        <v>1586</v>
      </c>
      <c r="H358" s="14" t="s">
        <v>1586</v>
      </c>
      <c r="I358" s="14" t="s">
        <v>1586</v>
      </c>
      <c r="J358" s="14" t="s">
        <v>1586</v>
      </c>
      <c r="K358" s="14" t="s">
        <v>1586</v>
      </c>
      <c r="L358" s="14" t="s">
        <v>1586</v>
      </c>
      <c r="M358" s="14" t="s">
        <v>1586</v>
      </c>
      <c r="N358" s="14" t="s">
        <v>1586</v>
      </c>
      <c r="O358" s="15">
        <v>1</v>
      </c>
      <c r="P358" s="14" t="s">
        <v>1586</v>
      </c>
      <c r="Q358" s="14" t="s">
        <v>1586</v>
      </c>
      <c r="R358" s="14" t="s">
        <v>1586</v>
      </c>
    </row>
    <row r="359" spans="1:18" ht="14.25">
      <c r="A359" s="6">
        <v>356</v>
      </c>
      <c r="B359" s="7" t="s">
        <v>508</v>
      </c>
      <c r="C359" s="8">
        <v>21</v>
      </c>
      <c r="D359" s="8">
        <v>21</v>
      </c>
      <c r="E359" s="14" t="s">
        <v>1586</v>
      </c>
      <c r="F359" s="14" t="s">
        <v>1586</v>
      </c>
      <c r="G359" s="14" t="s">
        <v>1586</v>
      </c>
      <c r="H359" s="14" t="s">
        <v>1586</v>
      </c>
      <c r="I359" s="14" t="s">
        <v>1586</v>
      </c>
      <c r="J359" s="14" t="s">
        <v>1586</v>
      </c>
      <c r="K359" s="14" t="s">
        <v>1586</v>
      </c>
      <c r="L359" s="14" t="s">
        <v>1586</v>
      </c>
      <c r="M359" s="14" t="s">
        <v>1586</v>
      </c>
      <c r="N359" s="14" t="s">
        <v>1586</v>
      </c>
      <c r="O359" s="15">
        <v>1</v>
      </c>
      <c r="P359" s="14" t="s">
        <v>1586</v>
      </c>
      <c r="Q359" s="14" t="s">
        <v>1586</v>
      </c>
      <c r="R359" s="14" t="s">
        <v>1586</v>
      </c>
    </row>
    <row r="360" spans="1:18" ht="14.25">
      <c r="A360" s="6">
        <v>357</v>
      </c>
      <c r="B360" s="7" t="s">
        <v>509</v>
      </c>
      <c r="C360" s="8">
        <v>21</v>
      </c>
      <c r="D360" s="8">
        <v>21</v>
      </c>
      <c r="E360" s="14" t="s">
        <v>1586</v>
      </c>
      <c r="F360" s="14" t="s">
        <v>1586</v>
      </c>
      <c r="G360" s="14" t="s">
        <v>1586</v>
      </c>
      <c r="H360" s="14" t="s">
        <v>1586</v>
      </c>
      <c r="I360" s="14" t="s">
        <v>1586</v>
      </c>
      <c r="J360" s="14" t="s">
        <v>1586</v>
      </c>
      <c r="K360" s="14" t="s">
        <v>1586</v>
      </c>
      <c r="L360" s="14" t="s">
        <v>1586</v>
      </c>
      <c r="M360" s="14" t="s">
        <v>1586</v>
      </c>
      <c r="N360" s="14" t="s">
        <v>1586</v>
      </c>
      <c r="O360" s="15">
        <v>1</v>
      </c>
      <c r="P360" s="14" t="s">
        <v>1586</v>
      </c>
      <c r="Q360" s="14" t="s">
        <v>1586</v>
      </c>
      <c r="R360" s="14" t="s">
        <v>1586</v>
      </c>
    </row>
    <row r="361" spans="1:18" ht="14.25">
      <c r="A361" s="6">
        <v>358</v>
      </c>
      <c r="B361" s="7" t="s">
        <v>510</v>
      </c>
      <c r="C361" s="8">
        <v>2.1</v>
      </c>
      <c r="D361" s="8">
        <v>2.1</v>
      </c>
      <c r="E361" s="14" t="s">
        <v>1586</v>
      </c>
      <c r="F361" s="14" t="s">
        <v>1586</v>
      </c>
      <c r="G361" s="14" t="s">
        <v>1586</v>
      </c>
      <c r="H361" s="14" t="s">
        <v>1586</v>
      </c>
      <c r="I361" s="14" t="s">
        <v>1586</v>
      </c>
      <c r="J361" s="14" t="s">
        <v>1586</v>
      </c>
      <c r="K361" s="14" t="s">
        <v>1586</v>
      </c>
      <c r="L361" s="14" t="s">
        <v>1586</v>
      </c>
      <c r="M361" s="14" t="s">
        <v>1586</v>
      </c>
      <c r="N361" s="14" t="s">
        <v>1586</v>
      </c>
      <c r="O361" s="14" t="s">
        <v>1586</v>
      </c>
      <c r="P361" s="14" t="s">
        <v>1586</v>
      </c>
      <c r="Q361" s="14" t="s">
        <v>1586</v>
      </c>
      <c r="R361" s="15">
        <v>1</v>
      </c>
    </row>
  </sheetData>
  <mergeCells count="1">
    <mergeCell ref="A1:R1"/>
  </mergeCells>
  <phoneticPr fontId="13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GP별 관심 FI List</vt:lpstr>
      <vt:lpstr>GP별 PEF 상세내역</vt:lpstr>
      <vt:lpstr>GP 연도별 활동 매트릭스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양태 김</cp:lastModifiedBy>
  <cp:revision>0</cp:revision>
  <dcterms:created xsi:type="dcterms:W3CDTF">2026-03-03T04:33:14Z</dcterms:created>
  <dcterms:modified xsi:type="dcterms:W3CDTF">2026-03-03T07:16:54Z</dcterms:modified>
  <dc:language>en-US</dc:language>
</cp:coreProperties>
</file>